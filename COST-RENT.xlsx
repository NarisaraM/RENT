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risara\Desktop\Workshop AI\RENT\"/>
    </mc:Choice>
  </mc:AlternateContent>
  <xr:revisionPtr revIDLastSave="0" documentId="8_{2B6415AB-5169-4B34-A0BD-A2B15918B90D}" xr6:coauthVersionLast="47" xr6:coauthVersionMax="47" xr10:uidLastSave="{00000000-0000-0000-0000-000000000000}"/>
  <bookViews>
    <workbookView xWindow="-108" yWindow="-108" windowWidth="23256" windowHeight="13896" tabRatio="734" xr2:uid="{00000000-000D-0000-FFFF-FFFF00000000}"/>
  </bookViews>
  <sheets>
    <sheet name="Charge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7" i="11" l="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AA34" i="11"/>
  <c r="AA35" i="11" s="1"/>
  <c r="AD31" i="11" s="1"/>
  <c r="AD32" i="11" s="1"/>
  <c r="AD33" i="11" s="1"/>
  <c r="AD34" i="11" s="1"/>
  <c r="AD35" i="11" s="1"/>
  <c r="AA33" i="11"/>
  <c r="AT32" i="11"/>
  <c r="AT33" i="11" s="1"/>
  <c r="AT34" i="11" s="1"/>
  <c r="AT35" i="11" s="1"/>
  <c r="AW31" i="11" s="1"/>
  <c r="AW32" i="11" s="1"/>
  <c r="AW33" i="11" s="1"/>
  <c r="AW34" i="11" s="1"/>
  <c r="AW35" i="11" s="1"/>
  <c r="AN32" i="11"/>
  <c r="AN33" i="11" s="1"/>
  <c r="AN34" i="11" s="1"/>
  <c r="AN35" i="11" s="1"/>
  <c r="AQ31" i="11" s="1"/>
  <c r="AQ32" i="11" s="1"/>
  <c r="AQ33" i="11" s="1"/>
  <c r="AQ34" i="11" s="1"/>
  <c r="AQ35" i="11" s="1"/>
  <c r="AG32" i="11"/>
  <c r="AG33" i="11" s="1"/>
  <c r="AG34" i="11" s="1"/>
  <c r="AG35" i="11" s="1"/>
  <c r="AJ31" i="11" s="1"/>
  <c r="AJ32" i="11" s="1"/>
  <c r="AJ33" i="11" s="1"/>
  <c r="AJ34" i="11" s="1"/>
  <c r="AJ35" i="11" s="1"/>
  <c r="AA32" i="11"/>
  <c r="AT31" i="11"/>
  <c r="AN31" i="11"/>
  <c r="AG31" i="11"/>
  <c r="AA31" i="11"/>
  <c r="AN24" i="11"/>
  <c r="AN25" i="11" s="1"/>
  <c r="AN26" i="11" s="1"/>
  <c r="AN27" i="11" s="1"/>
  <c r="AN28" i="11" s="1"/>
  <c r="AQ22" i="11" s="1"/>
  <c r="AQ23" i="11" s="1"/>
  <c r="AQ24" i="11" s="1"/>
  <c r="AQ25" i="11" s="1"/>
  <c r="AQ26" i="11" s="1"/>
  <c r="AQ27" i="11" s="1"/>
  <c r="AQ28" i="11" s="1"/>
  <c r="AN23" i="11"/>
  <c r="AG23" i="11"/>
  <c r="AG24" i="11" s="1"/>
  <c r="AG25" i="11" s="1"/>
  <c r="AG26" i="11" s="1"/>
  <c r="AG27" i="11" s="1"/>
  <c r="AG28" i="11" s="1"/>
  <c r="AJ22" i="11" s="1"/>
  <c r="AJ23" i="11" s="1"/>
  <c r="AJ24" i="11" s="1"/>
  <c r="AJ25" i="11" s="1"/>
  <c r="AJ26" i="11" s="1"/>
  <c r="AJ27" i="11" s="1"/>
  <c r="AJ28" i="11" s="1"/>
  <c r="AA23" i="11"/>
  <c r="AA24" i="11" s="1"/>
  <c r="AA25" i="11" s="1"/>
  <c r="AA26" i="11" s="1"/>
  <c r="AA27" i="11" s="1"/>
  <c r="AA28" i="11" s="1"/>
  <c r="AD22" i="11" s="1"/>
  <c r="AD23" i="11" s="1"/>
  <c r="AD24" i="11" s="1"/>
  <c r="AD25" i="11" s="1"/>
  <c r="AD26" i="11" s="1"/>
  <c r="AD27" i="11" s="1"/>
  <c r="AD28" i="11" s="1"/>
  <c r="AT22" i="11"/>
  <c r="AT23" i="11" s="1"/>
  <c r="AT24" i="11" s="1"/>
  <c r="AT25" i="11" s="1"/>
  <c r="AT26" i="11" s="1"/>
  <c r="AT27" i="11" s="1"/>
  <c r="AT28" i="11" s="1"/>
  <c r="AW22" i="11" s="1"/>
  <c r="AW23" i="11" s="1"/>
  <c r="AW24" i="11" s="1"/>
  <c r="AW25" i="11" s="1"/>
  <c r="AW26" i="11" s="1"/>
  <c r="AW27" i="11" s="1"/>
  <c r="AW28" i="11" s="1"/>
  <c r="AN22" i="11"/>
  <c r="AG22" i="11"/>
  <c r="AA22" i="11"/>
  <c r="AT21" i="11"/>
  <c r="AN21" i="11"/>
  <c r="AG21" i="11"/>
  <c r="AA21" i="11"/>
  <c r="AN14" i="11"/>
  <c r="AN15" i="11" s="1"/>
  <c r="AN16" i="11" s="1"/>
  <c r="AN17" i="11" s="1"/>
  <c r="AN18" i="11" s="1"/>
  <c r="AQ12" i="11" s="1"/>
  <c r="AQ13" i="11" s="1"/>
  <c r="AQ14" i="11" s="1"/>
  <c r="AQ15" i="11" s="1"/>
  <c r="AQ16" i="11" s="1"/>
  <c r="AQ17" i="11" s="1"/>
  <c r="AQ18" i="11" s="1"/>
  <c r="AN13" i="11"/>
  <c r="AG13" i="11"/>
  <c r="AG14" i="11" s="1"/>
  <c r="AG15" i="11" s="1"/>
  <c r="AG16" i="11" s="1"/>
  <c r="AG17" i="11" s="1"/>
  <c r="AG18" i="11" s="1"/>
  <c r="AJ12" i="11" s="1"/>
  <c r="AJ13" i="11" s="1"/>
  <c r="AJ14" i="11" s="1"/>
  <c r="AJ15" i="11" s="1"/>
  <c r="AJ16" i="11" s="1"/>
  <c r="AJ17" i="11" s="1"/>
  <c r="AJ18" i="11" s="1"/>
  <c r="AA13" i="11"/>
  <c r="AA14" i="11" s="1"/>
  <c r="AA15" i="11" s="1"/>
  <c r="AA16" i="11" s="1"/>
  <c r="AA17" i="11" s="1"/>
  <c r="AA18" i="11" s="1"/>
  <c r="AD12" i="11" s="1"/>
  <c r="AD13" i="11" s="1"/>
  <c r="AD14" i="11" s="1"/>
  <c r="AD15" i="11" s="1"/>
  <c r="AD16" i="11" s="1"/>
  <c r="AD17" i="11" s="1"/>
  <c r="AD18" i="11" s="1"/>
  <c r="AT12" i="11"/>
  <c r="AT13" i="11" s="1"/>
  <c r="AT14" i="11" s="1"/>
  <c r="AT15" i="11" s="1"/>
  <c r="AT16" i="11" s="1"/>
  <c r="AT17" i="11" s="1"/>
  <c r="AT18" i="11" s="1"/>
  <c r="AW12" i="11" s="1"/>
  <c r="AW13" i="11" s="1"/>
  <c r="AW14" i="11" s="1"/>
  <c r="AW15" i="11" s="1"/>
  <c r="AW16" i="11" s="1"/>
  <c r="AW17" i="11" s="1"/>
  <c r="AW18" i="11" s="1"/>
  <c r="AN12" i="11"/>
  <c r="AG12" i="11"/>
  <c r="AA12" i="11"/>
  <c r="AT11" i="11"/>
  <c r="AN11" i="11"/>
  <c r="AG11" i="11"/>
  <c r="AA11" i="11"/>
  <c r="AT4" i="11"/>
  <c r="AT5" i="11" s="1"/>
  <c r="AW2" i="11" s="1"/>
  <c r="AW3" i="11" s="1"/>
  <c r="AW4" i="11" s="1"/>
  <c r="AW5" i="11" s="1"/>
  <c r="AW6" i="11" s="1"/>
  <c r="AW7" i="11" s="1"/>
  <c r="AW8" i="11" s="1"/>
  <c r="AN4" i="11"/>
  <c r="AN5" i="11" s="1"/>
  <c r="AQ2" i="11" s="1"/>
  <c r="AQ3" i="11" s="1"/>
  <c r="AQ4" i="11" s="1"/>
  <c r="AQ5" i="11" s="1"/>
  <c r="AQ6" i="11" s="1"/>
  <c r="AQ7" i="11" s="1"/>
  <c r="AQ8" i="11" s="1"/>
  <c r="AT3" i="11"/>
  <c r="AN3" i="11"/>
  <c r="AG3" i="11"/>
  <c r="AG4" i="11" s="1"/>
  <c r="AG5" i="11" s="1"/>
  <c r="AJ2" i="11" s="1"/>
  <c r="AJ3" i="11" s="1"/>
  <c r="AJ4" i="11" s="1"/>
  <c r="AJ5" i="11" s="1"/>
  <c r="AJ6" i="11" s="1"/>
  <c r="AJ7" i="11" s="1"/>
  <c r="AJ8" i="11" s="1"/>
  <c r="AA3" i="11"/>
  <c r="AA4" i="11" s="1"/>
  <c r="AA5" i="11" s="1"/>
  <c r="AD2" i="11" s="1"/>
  <c r="AD3" i="11" s="1"/>
  <c r="AD4" i="11" s="1"/>
  <c r="AD5" i="11" s="1"/>
  <c r="AD6" i="11" s="1"/>
  <c r="AD7" i="11" s="1"/>
  <c r="AD8" i="11" s="1"/>
  <c r="AT2" i="11"/>
  <c r="AN2" i="11"/>
  <c r="AG2" i="11"/>
  <c r="AA2" i="11"/>
</calcChain>
</file>

<file path=xl/sharedStrings.xml><?xml version="1.0" encoding="utf-8"?>
<sst xmlns="http://schemas.openxmlformats.org/spreadsheetml/2006/main" count="274" uniqueCount="65">
  <si>
    <t>LCH04</t>
  </si>
  <si>
    <t>DG</t>
  </si>
  <si>
    <t>BKK01</t>
  </si>
  <si>
    <t>BKK02</t>
  </si>
  <si>
    <t>LCH02</t>
  </si>
  <si>
    <t>Day</t>
  </si>
  <si>
    <t>GP/RF</t>
  </si>
  <si>
    <t>20'</t>
  </si>
  <si>
    <t>40'</t>
  </si>
  <si>
    <t>สะสม 20'</t>
  </si>
  <si>
    <t>สะสม 40'</t>
  </si>
  <si>
    <t>size</t>
  </si>
  <si>
    <t xml:space="preserve">Amount </t>
  </si>
  <si>
    <t>Customer</t>
  </si>
  <si>
    <t>Terminal</t>
  </si>
  <si>
    <t>LCH05</t>
  </si>
  <si>
    <t>LCH03</t>
  </si>
  <si>
    <t>LCH01</t>
  </si>
  <si>
    <t>LCH09</t>
  </si>
  <si>
    <t>LCH10</t>
  </si>
  <si>
    <t>B3</t>
  </si>
  <si>
    <t>B4</t>
  </si>
  <si>
    <t>LCMT</t>
  </si>
  <si>
    <t>ESCO</t>
  </si>
  <si>
    <t>TIPS</t>
  </si>
  <si>
    <t>LCIT</t>
  </si>
  <si>
    <t>Hutchison</t>
  </si>
  <si>
    <t>PAT</t>
  </si>
  <si>
    <t>Unithai</t>
  </si>
  <si>
    <t>BKK04</t>
  </si>
  <si>
    <t>Port</t>
  </si>
  <si>
    <t>Code</t>
  </si>
  <si>
    <t>FreeTime</t>
  </si>
  <si>
    <t>1-3</t>
  </si>
  <si>
    <t>4-10</t>
  </si>
  <si>
    <t>11 ขึ้นไป</t>
  </si>
  <si>
    <t>Days</t>
  </si>
  <si>
    <t>1-7</t>
  </si>
  <si>
    <t>15 -ขึ้นไป</t>
  </si>
  <si>
    <t>8-14</t>
  </si>
  <si>
    <t>A0 / B1</t>
  </si>
  <si>
    <t>C3 / B5</t>
  </si>
  <si>
    <t>A2 / A3</t>
  </si>
  <si>
    <t>Flat Rate</t>
  </si>
  <si>
    <t xml:space="preserve">Terminal </t>
  </si>
  <si>
    <t>C1 / C2 / D1</t>
  </si>
  <si>
    <t>IF(A37="20'",VLOOKUP(B37,$K$2:$M$5,2,TRUE)+(B37-VLOOKUP(B37,$K$2:$M$5,1,TRUE))*VLOOKUP(B37,$K$2:$M$5,3,TRUE),VLOOKUP(B37,$N$2:$P$5,2,TRUE)+(B37-VLOOKUP(B37,$N$2:$P$5,1,TRUE))*VLOOKUP(B37,$N$2:$P$5,3,TRUE))</t>
  </si>
  <si>
    <t>IF(A37="20'",VLOOKUP(B37,$R$2:$T$5,2,TRUE)+(B37-VLOOKUP(B37,$R$2:$T$5,1,TRUE))*VLOOKUP(B37,$R$2:$T$5,3,TRUE),VLOOKUP(B37,$U$2:$W$5,2,TRUE)+(B37-VLOOKUP(B37,$U$2:$W$5,1,TRUE))*VLOOKUP(B37,$U$2:$W$5,3,TRUE))</t>
  </si>
  <si>
    <t>IF(A37="20'",VLOOKUP(B37,$K$18:$M$21,2,TRUE)+(B37-VLOOKUP(B37,$K$18:$M$21,1,TRUE))*VLOOKUP(B37,$K$18:$M$21,3,TRUE),VLOOKUP(B37,$N$18:$P$21,2,TRUE)+(B37-VLOOKUP(B37,$N$18:$P$21,1,TRUE))*VLOOKUP(B37,$N$18:$P$21,3,TRUE))</t>
  </si>
  <si>
    <t>IF(A37="20'",VLOOKUP(B37,$R$18:$T$21,2,TRUE)+(B37-VLOOKUP(B37,$R$18:$T$21,1,TRUE))*VLOOKUP(B37,$R$18:$T$21,3,TRUE),VLOOKUP(B37,$U$18:$W$21,2,TRUE)+(B37-VLOOKUP(B37,$U$18:$W$21,1,TRUE))*VLOOKUP(B37,$U$18:$W$21,3,TRUE))</t>
  </si>
  <si>
    <t>BKK01/ BKK04</t>
  </si>
  <si>
    <t>IF(A40="20'",B40*$M$25,B40*$P$25)</t>
  </si>
  <si>
    <t>IF(A40="20'",B40*$T$25,B40*$W$25)</t>
  </si>
  <si>
    <t>Other</t>
  </si>
  <si>
    <t>IF(A41="20'",VLOOKUP(B41,$K$9:$M$12,2,TRUE)+(B41-VLOOKUP(B41,$K$9:$M$12,1,TRUE))*VLOOKUP(B41,$K$9:$M$12,3,TRUE),VLOOKUP(B41,$N$9:$P$12,2,TRUE)+(B41-VLOOKUP(B41,$N$9:$P$12,1,TRUE))*VLOOKUP(B41,$N$9:$P$12,3,TRUE))</t>
  </si>
  <si>
    <t>IF(A41="20'",VLOOKUP(B41,$R$9:$T$12,2,TRUE)+(B41-VLOOKUP(B41,$R$9:$T$12,1,TRUE))*VLOOKUP(B41,$R$9:$T$12,3,TRUE),VLOOKUP(B41,$U$9:$W$12,2,TRUE)+(B41-VLOOKUP(B41,$U$9:$W$12,1,TRUE))*VLOOKUP(B41,$U$9:$W$12,3,TRUE))</t>
  </si>
  <si>
    <t>G1</t>
  </si>
  <si>
    <t>G2</t>
  </si>
  <si>
    <t>G3</t>
  </si>
  <si>
    <t>G4</t>
  </si>
  <si>
    <t>BKK / RF / KTS + Freetime 1 วัน</t>
  </si>
  <si>
    <t>BKK &amp; LCH / KHS + Freetime 1 วัน</t>
  </si>
  <si>
    <t>Note</t>
  </si>
  <si>
    <t>HAL / Terminal</t>
  </si>
  <si>
    <t>LCH06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</si>
</sst>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9"/>
      <color theme="1"/>
      <name val="Tahoma"/>
      <family val="2"/>
    </font>
    <font>
      <sz val="11"/>
      <color theme="1"/>
      <name val="Tahoma"/>
      <family val="2"/>
      <charset val="222"/>
      <scheme val="minor"/>
    </font>
    <font>
      <sz val="8"/>
      <color theme="1"/>
      <name val="Tahoma"/>
      <family val="2"/>
    </font>
    <font>
      <sz val="10"/>
      <color indexed="8"/>
      <name val="MS Sans Serif"/>
      <family val="2"/>
    </font>
    <font>
      <sz val="14"/>
      <name val="Cordia New"/>
      <family val="2"/>
    </font>
    <font>
      <sz val="14"/>
      <name val="Cordia New"/>
      <family val="2"/>
    </font>
    <font>
      <sz val="10"/>
      <name val="Arial"/>
      <family val="2"/>
    </font>
    <font>
      <sz val="10"/>
      <color theme="1"/>
      <name val="Tahoma"/>
      <family val="2"/>
    </font>
    <font>
      <sz val="10"/>
      <color rgb="FF0000FF"/>
      <name val="Tahoma"/>
      <family val="2"/>
    </font>
    <font>
      <sz val="10"/>
      <color rgb="FFFF0000"/>
      <name val="Tahoma"/>
      <family val="2"/>
    </font>
    <font>
      <sz val="10"/>
      <color rgb="FFCC00CC"/>
      <name val="Tahoma"/>
      <family val="2"/>
    </font>
    <font>
      <sz val="10"/>
      <color theme="7" tint="-0.249977111117893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22">
    <xf numFmtId="0" fontId="0" fillId="0" borderId="0"/>
    <xf numFmtId="0" fontId="7" fillId="0" borderId="0"/>
    <xf numFmtId="0" fontId="9" fillId="0" borderId="0"/>
    <xf numFmtId="43" fontId="9" fillId="0" borderId="0" applyFont="0" applyFill="0" applyBorder="0" applyAlignment="0" applyProtection="0"/>
    <xf numFmtId="0" fontId="11" fillId="0" borderId="0"/>
    <xf numFmtId="0" fontId="9" fillId="0" borderId="0"/>
    <xf numFmtId="43" fontId="9" fillId="0" borderId="0" applyFont="0" applyFill="0" applyBorder="0" applyAlignment="0" applyProtection="0"/>
    <xf numFmtId="0" fontId="6" fillId="0" borderId="0"/>
    <xf numFmtId="0" fontId="5" fillId="0" borderId="0"/>
    <xf numFmtId="0" fontId="9" fillId="0" borderId="0"/>
    <xf numFmtId="43" fontId="9" fillId="0" borderId="0" applyFont="0" applyFill="0" applyBorder="0" applyAlignment="0" applyProtection="0"/>
    <xf numFmtId="0" fontId="5" fillId="0" borderId="0"/>
    <xf numFmtId="0" fontId="5" fillId="0" borderId="0"/>
    <xf numFmtId="0" fontId="4" fillId="0" borderId="0"/>
    <xf numFmtId="0" fontId="9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9" fillId="0" borderId="0"/>
    <xf numFmtId="43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9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48">
    <xf numFmtId="0" fontId="0" fillId="0" borderId="0" xfId="0"/>
    <xf numFmtId="0" fontId="8" fillId="0" borderId="0" xfId="0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49" fontId="15" fillId="0" borderId="0" xfId="0" applyNumberFormat="1" applyFont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/>
    <xf numFmtId="1" fontId="15" fillId="0" borderId="0" xfId="0" applyNumberFormat="1" applyFont="1"/>
    <xf numFmtId="1" fontId="15" fillId="4" borderId="0" xfId="0" applyNumberFormat="1" applyFont="1" applyFill="1"/>
    <xf numFmtId="1" fontId="15" fillId="3" borderId="0" xfId="0" applyNumberFormat="1" applyFont="1" applyFill="1"/>
    <xf numFmtId="0" fontId="15" fillId="0" borderId="0" xfId="0" applyFont="1" applyAlignment="1">
      <alignment horizontal="center"/>
    </xf>
    <xf numFmtId="0" fontId="16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" fontId="18" fillId="2" borderId="0" xfId="0" applyNumberFormat="1" applyFont="1" applyFill="1" applyAlignment="1">
      <alignment horizontal="center" vertical="center"/>
    </xf>
    <xf numFmtId="1" fontId="18" fillId="2" borderId="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</cellXfs>
  <cellStyles count="122">
    <cellStyle name="Comma 2" xfId="3" xr:uid="{00000000-0005-0000-0000-000001000000}"/>
    <cellStyle name="Comma 3" xfId="6" xr:uid="{00000000-0005-0000-0000-000002000000}"/>
    <cellStyle name="Comma 4" xfId="10" xr:uid="{00000000-0005-0000-0000-000003000000}"/>
    <cellStyle name="Comma 5" xfId="15" xr:uid="{00000000-0005-0000-0000-000004000000}"/>
    <cellStyle name="Comma 6" xfId="23" xr:uid="{00000000-0005-0000-0000-000005000000}"/>
    <cellStyle name="Comma 7" xfId="46" xr:uid="{00000000-0005-0000-0000-000006000000}"/>
    <cellStyle name="Normal" xfId="0" builtinId="0"/>
    <cellStyle name="Normal 10" xfId="22" xr:uid="{00000000-0005-0000-0000-000008000000}"/>
    <cellStyle name="Normal 11" xfId="21" xr:uid="{00000000-0005-0000-0000-000009000000}"/>
    <cellStyle name="Normal 11 2" xfId="58" xr:uid="{00000000-0005-0000-0000-00000A000000}"/>
    <cellStyle name="Normal 11 2 2" xfId="110" xr:uid="{00000000-0005-0000-0000-00000B000000}"/>
    <cellStyle name="Normal 11 3" xfId="86" xr:uid="{00000000-0005-0000-0000-00000C000000}"/>
    <cellStyle name="Normal 12" xfId="35" xr:uid="{00000000-0005-0000-0000-00000D000000}"/>
    <cellStyle name="Normal 13" xfId="45" xr:uid="{00000000-0005-0000-0000-00000E000000}"/>
    <cellStyle name="Normal 14" xfId="44" xr:uid="{00000000-0005-0000-0000-00000F000000}"/>
    <cellStyle name="Normal 14 2" xfId="98" xr:uid="{00000000-0005-0000-0000-000010000000}"/>
    <cellStyle name="Normal 15" xfId="74" xr:uid="{00000000-0005-0000-0000-000011000000}"/>
    <cellStyle name="Normal 2" xfId="2" xr:uid="{00000000-0005-0000-0000-000012000000}"/>
    <cellStyle name="Normal 2 2" xfId="36" xr:uid="{00000000-0005-0000-0000-000013000000}"/>
    <cellStyle name="Normal 2 2 2" xfId="70" xr:uid="{00000000-0005-0000-0000-000014000000}"/>
    <cellStyle name="Normal 3" xfId="1" xr:uid="{00000000-0005-0000-0000-000015000000}"/>
    <cellStyle name="Normal 3 2" xfId="7" xr:uid="{00000000-0005-0000-0000-000016000000}"/>
    <cellStyle name="Normal 3 2 2" xfId="12" xr:uid="{00000000-0005-0000-0000-000017000000}"/>
    <cellStyle name="Normal 3 2 2 2" xfId="20" xr:uid="{00000000-0005-0000-0000-000018000000}"/>
    <cellStyle name="Normal 3 2 2 2 2" xfId="34" xr:uid="{00000000-0005-0000-0000-000019000000}"/>
    <cellStyle name="Normal 3 2 2 2 2 2" xfId="69" xr:uid="{00000000-0005-0000-0000-00001A000000}"/>
    <cellStyle name="Normal 3 2 2 2 2 2 2" xfId="121" xr:uid="{00000000-0005-0000-0000-00001B000000}"/>
    <cellStyle name="Normal 3 2 2 2 2 3" xfId="97" xr:uid="{00000000-0005-0000-0000-00001C000000}"/>
    <cellStyle name="Normal 3 2 2 2 3" xfId="57" xr:uid="{00000000-0005-0000-0000-00001D000000}"/>
    <cellStyle name="Normal 3 2 2 2 3 2" xfId="109" xr:uid="{00000000-0005-0000-0000-00001E000000}"/>
    <cellStyle name="Normal 3 2 2 2 4" xfId="85" xr:uid="{00000000-0005-0000-0000-00001F000000}"/>
    <cellStyle name="Normal 3 2 2 3" xfId="28" xr:uid="{00000000-0005-0000-0000-000020000000}"/>
    <cellStyle name="Normal 3 2 2 3 2" xfId="63" xr:uid="{00000000-0005-0000-0000-000021000000}"/>
    <cellStyle name="Normal 3 2 2 3 2 2" xfId="115" xr:uid="{00000000-0005-0000-0000-000022000000}"/>
    <cellStyle name="Normal 3 2 2 3 3" xfId="91" xr:uid="{00000000-0005-0000-0000-000023000000}"/>
    <cellStyle name="Normal 3 2 2 4" xfId="51" xr:uid="{00000000-0005-0000-0000-000024000000}"/>
    <cellStyle name="Normal 3 2 2 4 2" xfId="103" xr:uid="{00000000-0005-0000-0000-000025000000}"/>
    <cellStyle name="Normal 3 2 2 5" xfId="79" xr:uid="{00000000-0005-0000-0000-000026000000}"/>
    <cellStyle name="Normal 3 2 3" xfId="17" xr:uid="{00000000-0005-0000-0000-000027000000}"/>
    <cellStyle name="Normal 3 2 3 2" xfId="31" xr:uid="{00000000-0005-0000-0000-000028000000}"/>
    <cellStyle name="Normal 3 2 3 2 2" xfId="66" xr:uid="{00000000-0005-0000-0000-000029000000}"/>
    <cellStyle name="Normal 3 2 3 2 2 2" xfId="118" xr:uid="{00000000-0005-0000-0000-00002A000000}"/>
    <cellStyle name="Normal 3 2 3 2 3" xfId="94" xr:uid="{00000000-0005-0000-0000-00002B000000}"/>
    <cellStyle name="Normal 3 2 3 3" xfId="54" xr:uid="{00000000-0005-0000-0000-00002C000000}"/>
    <cellStyle name="Normal 3 2 3 3 2" xfId="106" xr:uid="{00000000-0005-0000-0000-00002D000000}"/>
    <cellStyle name="Normal 3 2 3 4" xfId="82" xr:uid="{00000000-0005-0000-0000-00002E000000}"/>
    <cellStyle name="Normal 3 2 4" xfId="25" xr:uid="{00000000-0005-0000-0000-00002F000000}"/>
    <cellStyle name="Normal 3 2 4 2" xfId="60" xr:uid="{00000000-0005-0000-0000-000030000000}"/>
    <cellStyle name="Normal 3 2 4 2 2" xfId="112" xr:uid="{00000000-0005-0000-0000-000031000000}"/>
    <cellStyle name="Normal 3 2 4 3" xfId="88" xr:uid="{00000000-0005-0000-0000-000032000000}"/>
    <cellStyle name="Normal 3 2 5" xfId="48" xr:uid="{00000000-0005-0000-0000-000033000000}"/>
    <cellStyle name="Normal 3 2 5 2" xfId="100" xr:uid="{00000000-0005-0000-0000-000034000000}"/>
    <cellStyle name="Normal 3 2 6" xfId="76" xr:uid="{00000000-0005-0000-0000-000035000000}"/>
    <cellStyle name="Normal 3 3" xfId="11" xr:uid="{00000000-0005-0000-0000-000036000000}"/>
    <cellStyle name="Normal 3 3 2" xfId="19" xr:uid="{00000000-0005-0000-0000-000037000000}"/>
    <cellStyle name="Normal 3 3 2 2" xfId="33" xr:uid="{00000000-0005-0000-0000-000038000000}"/>
    <cellStyle name="Normal 3 3 2 2 2" xfId="68" xr:uid="{00000000-0005-0000-0000-000039000000}"/>
    <cellStyle name="Normal 3 3 2 2 2 2" xfId="120" xr:uid="{00000000-0005-0000-0000-00003A000000}"/>
    <cellStyle name="Normal 3 3 2 2 3" xfId="96" xr:uid="{00000000-0005-0000-0000-00003B000000}"/>
    <cellStyle name="Normal 3 3 2 3" xfId="56" xr:uid="{00000000-0005-0000-0000-00003C000000}"/>
    <cellStyle name="Normal 3 3 2 3 2" xfId="108" xr:uid="{00000000-0005-0000-0000-00003D000000}"/>
    <cellStyle name="Normal 3 3 2 4" xfId="84" xr:uid="{00000000-0005-0000-0000-00003E000000}"/>
    <cellStyle name="Normal 3 3 3" xfId="27" xr:uid="{00000000-0005-0000-0000-00003F000000}"/>
    <cellStyle name="Normal 3 3 3 2" xfId="62" xr:uid="{00000000-0005-0000-0000-000040000000}"/>
    <cellStyle name="Normal 3 3 3 2 2" xfId="114" xr:uid="{00000000-0005-0000-0000-000041000000}"/>
    <cellStyle name="Normal 3 3 3 3" xfId="90" xr:uid="{00000000-0005-0000-0000-000042000000}"/>
    <cellStyle name="Normal 3 3 4" xfId="50" xr:uid="{00000000-0005-0000-0000-000043000000}"/>
    <cellStyle name="Normal 3 3 4 2" xfId="102" xr:uid="{00000000-0005-0000-0000-000044000000}"/>
    <cellStyle name="Normal 3 3 5" xfId="78" xr:uid="{00000000-0005-0000-0000-000045000000}"/>
    <cellStyle name="Normal 3 4" xfId="16" xr:uid="{00000000-0005-0000-0000-000046000000}"/>
    <cellStyle name="Normal 3 4 2" xfId="30" xr:uid="{00000000-0005-0000-0000-000047000000}"/>
    <cellStyle name="Normal 3 4 2 2" xfId="65" xr:uid="{00000000-0005-0000-0000-000048000000}"/>
    <cellStyle name="Normal 3 4 2 2 2" xfId="117" xr:uid="{00000000-0005-0000-0000-000049000000}"/>
    <cellStyle name="Normal 3 4 2 3" xfId="93" xr:uid="{00000000-0005-0000-0000-00004A000000}"/>
    <cellStyle name="Normal 3 4 3" xfId="53" xr:uid="{00000000-0005-0000-0000-00004B000000}"/>
    <cellStyle name="Normal 3 4 3 2" xfId="105" xr:uid="{00000000-0005-0000-0000-00004C000000}"/>
    <cellStyle name="Normal 3 4 4" xfId="81" xr:uid="{00000000-0005-0000-0000-00004D000000}"/>
    <cellStyle name="Normal 3 5" xfId="24" xr:uid="{00000000-0005-0000-0000-00004E000000}"/>
    <cellStyle name="Normal 3 5 2" xfId="59" xr:uid="{00000000-0005-0000-0000-00004F000000}"/>
    <cellStyle name="Normal 3 5 2 2" xfId="111" xr:uid="{00000000-0005-0000-0000-000050000000}"/>
    <cellStyle name="Normal 3 5 3" xfId="87" xr:uid="{00000000-0005-0000-0000-000051000000}"/>
    <cellStyle name="Normal 3 6" xfId="40" xr:uid="{00000000-0005-0000-0000-000052000000}"/>
    <cellStyle name="Normal 3 7" xfId="47" xr:uid="{00000000-0005-0000-0000-000053000000}"/>
    <cellStyle name="Normal 3 7 2" xfId="99" xr:uid="{00000000-0005-0000-0000-000054000000}"/>
    <cellStyle name="Normal 3 8" xfId="75" xr:uid="{00000000-0005-0000-0000-000055000000}"/>
    <cellStyle name="Normal 4" xfId="5" xr:uid="{00000000-0005-0000-0000-000056000000}"/>
    <cellStyle name="Normal 439" xfId="42" xr:uid="{00000000-0005-0000-0000-000057000000}"/>
    <cellStyle name="Normal 440" xfId="43" xr:uid="{00000000-0005-0000-0000-000058000000}"/>
    <cellStyle name="Normal 46" xfId="41" xr:uid="{00000000-0005-0000-0000-000059000000}"/>
    <cellStyle name="Normal 5" xfId="4" xr:uid="{00000000-0005-0000-0000-00005A000000}"/>
    <cellStyle name="Normal 6" xfId="9" xr:uid="{00000000-0005-0000-0000-00005B000000}"/>
    <cellStyle name="Normal 7" xfId="8" xr:uid="{00000000-0005-0000-0000-00005C000000}"/>
    <cellStyle name="Normal 7 2" xfId="18" xr:uid="{00000000-0005-0000-0000-00005D000000}"/>
    <cellStyle name="Normal 7 2 2" xfId="32" xr:uid="{00000000-0005-0000-0000-00005E000000}"/>
    <cellStyle name="Normal 7 2 2 2" xfId="67" xr:uid="{00000000-0005-0000-0000-00005F000000}"/>
    <cellStyle name="Normal 7 2 2 2 2" xfId="119" xr:uid="{00000000-0005-0000-0000-000060000000}"/>
    <cellStyle name="Normal 7 2 2 3" xfId="95" xr:uid="{00000000-0005-0000-0000-000061000000}"/>
    <cellStyle name="Normal 7 2 3" xfId="55" xr:uid="{00000000-0005-0000-0000-000062000000}"/>
    <cellStyle name="Normal 7 2 3 2" xfId="107" xr:uid="{00000000-0005-0000-0000-000063000000}"/>
    <cellStyle name="Normal 7 2 4" xfId="83" xr:uid="{00000000-0005-0000-0000-000064000000}"/>
    <cellStyle name="Normal 7 3" xfId="26" xr:uid="{00000000-0005-0000-0000-000065000000}"/>
    <cellStyle name="Normal 7 3 2" xfId="61" xr:uid="{00000000-0005-0000-0000-000066000000}"/>
    <cellStyle name="Normal 7 3 2 2" xfId="113" xr:uid="{00000000-0005-0000-0000-000067000000}"/>
    <cellStyle name="Normal 7 3 3" xfId="89" xr:uid="{00000000-0005-0000-0000-000068000000}"/>
    <cellStyle name="Normal 7 4" xfId="49" xr:uid="{00000000-0005-0000-0000-000069000000}"/>
    <cellStyle name="Normal 7 4 2" xfId="101" xr:uid="{00000000-0005-0000-0000-00006A000000}"/>
    <cellStyle name="Normal 7 5" xfId="77" xr:uid="{00000000-0005-0000-0000-00006B000000}"/>
    <cellStyle name="Normal 8" xfId="14" xr:uid="{00000000-0005-0000-0000-00006C000000}"/>
    <cellStyle name="Normal 9" xfId="13" xr:uid="{00000000-0005-0000-0000-00006D000000}"/>
    <cellStyle name="Normal 9 2" xfId="29" xr:uid="{00000000-0005-0000-0000-00006E000000}"/>
    <cellStyle name="Normal 9 2 2" xfId="64" xr:uid="{00000000-0005-0000-0000-00006F000000}"/>
    <cellStyle name="Normal 9 2 2 2" xfId="116" xr:uid="{00000000-0005-0000-0000-000070000000}"/>
    <cellStyle name="Normal 9 2 3" xfId="92" xr:uid="{00000000-0005-0000-0000-000071000000}"/>
    <cellStyle name="Normal 9 3" xfId="52" xr:uid="{00000000-0005-0000-0000-000072000000}"/>
    <cellStyle name="Normal 9 3 2" xfId="104" xr:uid="{00000000-0005-0000-0000-000073000000}"/>
    <cellStyle name="Normal 9 4" xfId="80" xr:uid="{00000000-0005-0000-0000-000074000000}"/>
    <cellStyle name="Percent 3" xfId="37" xr:uid="{00000000-0005-0000-0000-000075000000}"/>
    <cellStyle name="Percent 3 2" xfId="71" xr:uid="{00000000-0005-0000-0000-000076000000}"/>
    <cellStyle name="Percent 4" xfId="38" xr:uid="{00000000-0005-0000-0000-000077000000}"/>
    <cellStyle name="Percent 4 2" xfId="72" xr:uid="{00000000-0005-0000-0000-000078000000}"/>
    <cellStyle name="Percent 5" xfId="39" xr:uid="{00000000-0005-0000-0000-000079000000}"/>
    <cellStyle name="Percent 5 2" xfId="73" xr:uid="{00000000-0005-0000-0000-00007A000000}"/>
  </cellStyles>
  <dxfs count="0"/>
  <tableStyles count="0" defaultTableStyle="TableStyleMedium2" defaultPivotStyle="PivotStyleLight16"/>
  <colors>
    <mruColors>
      <color rgb="FF0000FF"/>
      <color rgb="FF006600"/>
      <color rgb="FFCC00CC"/>
      <color rgb="FFFF8F8F"/>
      <color rgb="FFFFCCCC"/>
      <color rgb="FFFF99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E88C4-5DD2-46B5-83BC-8075561B6A9D}">
  <dimension ref="A1:AW77"/>
  <sheetViews>
    <sheetView tabSelected="1" workbookViewId="0">
      <selection activeCell="C14" sqref="C14"/>
    </sheetView>
  </sheetViews>
  <sheetFormatPr defaultColWidth="11.69921875" defaultRowHeight="13.2" x14ac:dyDescent="0.25"/>
  <cols>
    <col min="1" max="1" width="9.8984375" style="5" customWidth="1"/>
    <col min="2" max="2" width="10.8984375" style="4" customWidth="1"/>
    <col min="3" max="3" width="10.8984375" style="5" customWidth="1"/>
    <col min="4" max="4" width="9.09765625" style="5" customWidth="1"/>
    <col min="5" max="5" width="8.8984375" style="5" customWidth="1"/>
    <col min="6" max="9" width="5.69921875" style="5" customWidth="1"/>
    <col min="10" max="10" width="8.3984375" style="5" customWidth="1"/>
    <col min="11" max="11" width="6.59765625" style="4" customWidth="1"/>
    <col min="12" max="12" width="7.09765625" style="4" customWidth="1"/>
    <col min="13" max="16" width="6.59765625" style="4" customWidth="1"/>
    <col min="17" max="17" width="3.09765625" style="4" customWidth="1"/>
    <col min="18" max="18" width="6.59765625" style="4" customWidth="1"/>
    <col min="19" max="19" width="7.3984375" style="4" customWidth="1"/>
    <col min="20" max="23" width="6.59765625" style="4" customWidth="1"/>
    <col min="24" max="24" width="9" style="5" customWidth="1"/>
    <col min="25" max="25" width="5.8984375" style="5" hidden="1" customWidth="1"/>
    <col min="26" max="29" width="4.69921875" style="5" hidden="1" customWidth="1"/>
    <col min="30" max="31" width="5.19921875" style="5" hidden="1" customWidth="1"/>
    <col min="32" max="35" width="4.69921875" style="4" hidden="1" customWidth="1"/>
    <col min="36" max="36" width="5.19921875" style="4" hidden="1" customWidth="1"/>
    <col min="37" max="37" width="2.8984375" style="5" hidden="1" customWidth="1"/>
    <col min="38" max="41" width="4.69921875" style="4" hidden="1" customWidth="1"/>
    <col min="42" max="42" width="5.19921875" style="4" hidden="1" customWidth="1"/>
    <col min="43" max="43" width="6.09765625" style="5" hidden="1" customWidth="1"/>
    <col min="44" max="47" width="4.69921875" style="4" hidden="1" customWidth="1"/>
    <col min="48" max="48" width="5.19921875" style="4" hidden="1" customWidth="1"/>
    <col min="49" max="49" width="7.09765625" style="4" hidden="1" customWidth="1"/>
    <col min="50" max="16384" width="11.69921875" style="4"/>
  </cols>
  <sheetData>
    <row r="1" spans="1:49" ht="17.100000000000001" customHeight="1" x14ac:dyDescent="0.25">
      <c r="A1" s="47" t="s">
        <v>63</v>
      </c>
      <c r="B1" s="47"/>
      <c r="C1" s="47"/>
      <c r="D1" s="47"/>
      <c r="E1" s="47"/>
      <c r="F1" s="47" t="s">
        <v>6</v>
      </c>
      <c r="G1" s="47"/>
      <c r="H1" s="47" t="s">
        <v>1</v>
      </c>
      <c r="I1" s="47"/>
      <c r="J1" s="40" t="s">
        <v>56</v>
      </c>
      <c r="K1" s="15" t="s">
        <v>6</v>
      </c>
      <c r="L1" s="16" t="s">
        <v>44</v>
      </c>
      <c r="M1" s="17" t="s">
        <v>0</v>
      </c>
      <c r="N1" s="18"/>
      <c r="O1" s="18"/>
      <c r="P1" s="7"/>
      <c r="R1" s="15" t="s">
        <v>1</v>
      </c>
      <c r="S1" s="16" t="s">
        <v>44</v>
      </c>
      <c r="T1" s="17" t="s">
        <v>0</v>
      </c>
      <c r="U1" s="18"/>
      <c r="V1" s="18"/>
      <c r="W1" s="7"/>
      <c r="X1" s="11"/>
      <c r="Y1" s="11" t="s">
        <v>6</v>
      </c>
      <c r="Z1" s="11" t="s">
        <v>7</v>
      </c>
      <c r="AA1" s="11"/>
      <c r="AB1" s="11"/>
      <c r="AC1" s="11"/>
      <c r="AD1" s="11"/>
      <c r="AE1" s="11" t="s">
        <v>6</v>
      </c>
      <c r="AF1" s="11" t="s">
        <v>8</v>
      </c>
      <c r="AG1" s="11"/>
      <c r="AH1" s="11"/>
      <c r="AI1" s="11"/>
      <c r="AJ1" s="11"/>
      <c r="AL1" s="6" t="s">
        <v>1</v>
      </c>
      <c r="AM1" s="6" t="s">
        <v>7</v>
      </c>
      <c r="AN1" s="37"/>
      <c r="AO1" s="37"/>
      <c r="AP1" s="37"/>
      <c r="AQ1" s="37"/>
      <c r="AR1" s="6" t="s">
        <v>1</v>
      </c>
      <c r="AS1" s="6" t="s">
        <v>8</v>
      </c>
      <c r="AT1" s="33"/>
      <c r="AU1" s="32"/>
      <c r="AV1" s="33"/>
      <c r="AW1" s="33"/>
    </row>
    <row r="2" spans="1:49" ht="17.100000000000001" customHeight="1" x14ac:dyDescent="0.25">
      <c r="A2" s="5" t="s">
        <v>14</v>
      </c>
      <c r="B2" s="5" t="s">
        <v>30</v>
      </c>
      <c r="C2" s="5" t="s">
        <v>31</v>
      </c>
      <c r="D2" s="5" t="s">
        <v>32</v>
      </c>
      <c r="E2" s="5" t="s">
        <v>36</v>
      </c>
      <c r="F2" s="5" t="s">
        <v>7</v>
      </c>
      <c r="G2" s="5" t="s">
        <v>8</v>
      </c>
      <c r="H2" s="5" t="s">
        <v>7</v>
      </c>
      <c r="I2" s="5" t="s">
        <v>8</v>
      </c>
      <c r="K2" s="5" t="s">
        <v>5</v>
      </c>
      <c r="L2" s="5" t="s">
        <v>9</v>
      </c>
      <c r="M2" s="5" t="s">
        <v>7</v>
      </c>
      <c r="N2" s="5" t="s">
        <v>5</v>
      </c>
      <c r="O2" s="5" t="s">
        <v>10</v>
      </c>
      <c r="P2" s="5" t="s">
        <v>8</v>
      </c>
      <c r="Q2" s="5"/>
      <c r="R2" s="5" t="s">
        <v>5</v>
      </c>
      <c r="S2" s="5" t="s">
        <v>9</v>
      </c>
      <c r="T2" s="5" t="s">
        <v>7</v>
      </c>
      <c r="U2" s="5" t="s">
        <v>5</v>
      </c>
      <c r="V2" s="5" t="s">
        <v>10</v>
      </c>
      <c r="W2" s="5" t="s">
        <v>8</v>
      </c>
      <c r="X2" s="11"/>
      <c r="Y2" s="36">
        <v>0</v>
      </c>
      <c r="Z2" s="32">
        <v>0</v>
      </c>
      <c r="AA2" s="32">
        <f>Z2</f>
        <v>0</v>
      </c>
      <c r="AB2" s="32">
        <v>4</v>
      </c>
      <c r="AC2" s="33">
        <v>250</v>
      </c>
      <c r="AD2" s="33">
        <f>AA5+AC2</f>
        <v>625</v>
      </c>
      <c r="AE2" s="36">
        <v>0</v>
      </c>
      <c r="AF2" s="32">
        <v>0</v>
      </c>
      <c r="AG2" s="32">
        <f>AF2</f>
        <v>0</v>
      </c>
      <c r="AH2" s="32">
        <v>4</v>
      </c>
      <c r="AI2" s="33">
        <v>500</v>
      </c>
      <c r="AJ2" s="33">
        <f>AG5+AI2</f>
        <v>1250</v>
      </c>
      <c r="AL2" s="36">
        <v>0</v>
      </c>
      <c r="AM2" s="32">
        <v>0</v>
      </c>
      <c r="AN2" s="32">
        <f>AM2</f>
        <v>0</v>
      </c>
      <c r="AO2" s="32">
        <v>4</v>
      </c>
      <c r="AP2" s="33">
        <v>750</v>
      </c>
      <c r="AQ2" s="33">
        <f>AN5+AP2</f>
        <v>1875</v>
      </c>
      <c r="AR2" s="36">
        <v>0</v>
      </c>
      <c r="AS2" s="32">
        <v>0</v>
      </c>
      <c r="AT2" s="32">
        <f>AS2</f>
        <v>0</v>
      </c>
      <c r="AU2" s="32">
        <v>4</v>
      </c>
      <c r="AV2" s="33">
        <v>1500</v>
      </c>
      <c r="AW2" s="33">
        <f>AT5+AV2</f>
        <v>3750</v>
      </c>
    </row>
    <row r="3" spans="1:49" ht="17.100000000000001" customHeight="1" x14ac:dyDescent="0.25">
      <c r="A3" s="5" t="s">
        <v>22</v>
      </c>
      <c r="B3" s="4" t="s">
        <v>40</v>
      </c>
      <c r="C3" s="5" t="s">
        <v>0</v>
      </c>
      <c r="D3" s="5">
        <v>7</v>
      </c>
      <c r="E3" s="20" t="s">
        <v>33</v>
      </c>
      <c r="F3" s="11">
        <v>125</v>
      </c>
      <c r="G3" s="11">
        <v>250</v>
      </c>
      <c r="H3" s="26">
        <v>375</v>
      </c>
      <c r="I3" s="26">
        <v>750</v>
      </c>
      <c r="J3" s="26"/>
      <c r="K3" s="5">
        <v>0</v>
      </c>
      <c r="L3" s="5">
        <v>0</v>
      </c>
      <c r="M3" s="24">
        <v>125</v>
      </c>
      <c r="N3" s="5">
        <v>0</v>
      </c>
      <c r="O3" s="5">
        <v>0</v>
      </c>
      <c r="P3" s="22">
        <v>250</v>
      </c>
      <c r="Q3" s="5"/>
      <c r="R3" s="5">
        <v>0</v>
      </c>
      <c r="S3" s="5">
        <v>0</v>
      </c>
      <c r="T3" s="26">
        <v>375</v>
      </c>
      <c r="U3" s="5">
        <v>0</v>
      </c>
      <c r="V3" s="5">
        <v>0</v>
      </c>
      <c r="W3" s="26">
        <v>750</v>
      </c>
      <c r="Y3" s="36">
        <v>1</v>
      </c>
      <c r="Z3" s="33">
        <v>125</v>
      </c>
      <c r="AA3" s="33">
        <f>Z2+Z3</f>
        <v>125</v>
      </c>
      <c r="AB3" s="32">
        <v>5</v>
      </c>
      <c r="AC3" s="33">
        <v>250</v>
      </c>
      <c r="AD3" s="33">
        <f t="shared" ref="AD3:AD8" si="0">AD2+AC3</f>
        <v>875</v>
      </c>
      <c r="AE3" s="36">
        <v>1</v>
      </c>
      <c r="AF3" s="33">
        <v>250</v>
      </c>
      <c r="AG3" s="33">
        <f>AF2+AF3</f>
        <v>250</v>
      </c>
      <c r="AH3" s="32">
        <v>5</v>
      </c>
      <c r="AI3" s="33">
        <v>500</v>
      </c>
      <c r="AJ3" s="33">
        <f t="shared" ref="AJ3:AJ8" si="1">AJ2+AI3</f>
        <v>1750</v>
      </c>
      <c r="AL3" s="36">
        <v>1</v>
      </c>
      <c r="AM3" s="33">
        <v>375</v>
      </c>
      <c r="AN3" s="33">
        <f>AM2+AM3</f>
        <v>375</v>
      </c>
      <c r="AO3" s="32">
        <v>5</v>
      </c>
      <c r="AP3" s="33">
        <v>750</v>
      </c>
      <c r="AQ3" s="33">
        <f t="shared" ref="AQ3:AQ8" si="2">AQ2+AP3</f>
        <v>2625</v>
      </c>
      <c r="AR3" s="36">
        <v>1</v>
      </c>
      <c r="AS3" s="33">
        <v>750</v>
      </c>
      <c r="AT3" s="33">
        <f>AS2+AS3</f>
        <v>750</v>
      </c>
      <c r="AU3" s="32">
        <v>5</v>
      </c>
      <c r="AV3" s="33">
        <v>1500</v>
      </c>
      <c r="AW3" s="33">
        <f t="shared" ref="AW3:AW8" si="3">AW2+AV3</f>
        <v>5250</v>
      </c>
    </row>
    <row r="4" spans="1:49" ht="17.100000000000001" customHeight="1" x14ac:dyDescent="0.25">
      <c r="E4" s="20" t="s">
        <v>34</v>
      </c>
      <c r="F4" s="11">
        <v>250</v>
      </c>
      <c r="G4" s="11">
        <v>500</v>
      </c>
      <c r="H4" s="26">
        <v>750</v>
      </c>
      <c r="I4" s="26">
        <v>1500</v>
      </c>
      <c r="J4" s="26"/>
      <c r="K4" s="5">
        <v>3</v>
      </c>
      <c r="L4" s="28">
        <v>375</v>
      </c>
      <c r="M4" s="24">
        <v>250</v>
      </c>
      <c r="N4" s="5">
        <v>3</v>
      </c>
      <c r="O4" s="28">
        <v>750</v>
      </c>
      <c r="P4" s="22">
        <v>500</v>
      </c>
      <c r="Q4" s="5"/>
      <c r="R4" s="5">
        <v>3</v>
      </c>
      <c r="S4" s="30">
        <v>1125</v>
      </c>
      <c r="T4" s="26">
        <v>750</v>
      </c>
      <c r="U4" s="5">
        <v>3</v>
      </c>
      <c r="V4" s="30">
        <v>2250</v>
      </c>
      <c r="W4" s="26">
        <v>1500</v>
      </c>
      <c r="Y4" s="36">
        <v>2</v>
      </c>
      <c r="Z4" s="33">
        <v>125</v>
      </c>
      <c r="AA4" s="33">
        <f>AA3+Z4</f>
        <v>250</v>
      </c>
      <c r="AB4" s="32">
        <v>6</v>
      </c>
      <c r="AC4" s="33">
        <v>250</v>
      </c>
      <c r="AD4" s="33">
        <f t="shared" si="0"/>
        <v>1125</v>
      </c>
      <c r="AE4" s="36">
        <v>2</v>
      </c>
      <c r="AF4" s="33">
        <v>250</v>
      </c>
      <c r="AG4" s="33">
        <f>AG3+AF4</f>
        <v>500</v>
      </c>
      <c r="AH4" s="32">
        <v>6</v>
      </c>
      <c r="AI4" s="33">
        <v>500</v>
      </c>
      <c r="AJ4" s="33">
        <f t="shared" si="1"/>
        <v>2250</v>
      </c>
      <c r="AL4" s="36">
        <v>2</v>
      </c>
      <c r="AM4" s="33">
        <v>375</v>
      </c>
      <c r="AN4" s="33">
        <f>AN3+AM4</f>
        <v>750</v>
      </c>
      <c r="AO4" s="32">
        <v>6</v>
      </c>
      <c r="AP4" s="33">
        <v>750</v>
      </c>
      <c r="AQ4" s="33">
        <f t="shared" si="2"/>
        <v>3375</v>
      </c>
      <c r="AR4" s="36">
        <v>2</v>
      </c>
      <c r="AS4" s="33">
        <v>750</v>
      </c>
      <c r="AT4" s="33">
        <f>AT3+AS4</f>
        <v>1500</v>
      </c>
      <c r="AU4" s="32">
        <v>6</v>
      </c>
      <c r="AV4" s="33">
        <v>1500</v>
      </c>
      <c r="AW4" s="33">
        <f t="shared" si="3"/>
        <v>6750</v>
      </c>
    </row>
    <row r="5" spans="1:49" ht="17.100000000000001" customHeight="1" x14ac:dyDescent="0.25">
      <c r="A5" s="9"/>
      <c r="B5" s="8"/>
      <c r="C5" s="9"/>
      <c r="D5" s="9"/>
      <c r="E5" s="21" t="s">
        <v>35</v>
      </c>
      <c r="F5" s="41">
        <v>400</v>
      </c>
      <c r="G5" s="41">
        <v>800</v>
      </c>
      <c r="H5" s="27">
        <v>1200</v>
      </c>
      <c r="I5" s="27">
        <v>2400</v>
      </c>
      <c r="J5" s="26"/>
      <c r="K5" s="9">
        <v>10</v>
      </c>
      <c r="L5" s="29">
        <v>2275</v>
      </c>
      <c r="M5" s="25">
        <v>400</v>
      </c>
      <c r="N5" s="9">
        <v>10</v>
      </c>
      <c r="O5" s="29">
        <v>4550</v>
      </c>
      <c r="P5" s="23">
        <v>800</v>
      </c>
      <c r="Q5" s="5"/>
      <c r="R5" s="9">
        <v>10</v>
      </c>
      <c r="S5" s="31">
        <v>6825</v>
      </c>
      <c r="T5" s="27">
        <v>1200</v>
      </c>
      <c r="U5" s="9">
        <v>10</v>
      </c>
      <c r="V5" s="31">
        <v>13650</v>
      </c>
      <c r="W5" s="27">
        <v>2400</v>
      </c>
      <c r="Y5" s="36">
        <v>3</v>
      </c>
      <c r="Z5" s="33">
        <v>125</v>
      </c>
      <c r="AA5" s="34">
        <f>AA4+Z5</f>
        <v>375</v>
      </c>
      <c r="AB5" s="32">
        <v>7</v>
      </c>
      <c r="AC5" s="33">
        <v>250</v>
      </c>
      <c r="AD5" s="33">
        <f t="shared" si="0"/>
        <v>1375</v>
      </c>
      <c r="AE5" s="36">
        <v>3</v>
      </c>
      <c r="AF5" s="33">
        <v>250</v>
      </c>
      <c r="AG5" s="34">
        <f>AG4+AF5</f>
        <v>750</v>
      </c>
      <c r="AH5" s="32">
        <v>7</v>
      </c>
      <c r="AI5" s="33">
        <v>500</v>
      </c>
      <c r="AJ5" s="33">
        <f t="shared" si="1"/>
        <v>2750</v>
      </c>
      <c r="AL5" s="36">
        <v>3</v>
      </c>
      <c r="AM5" s="33">
        <v>375</v>
      </c>
      <c r="AN5" s="35">
        <f>AN4+AM5</f>
        <v>1125</v>
      </c>
      <c r="AO5" s="32">
        <v>7</v>
      </c>
      <c r="AP5" s="33">
        <v>750</v>
      </c>
      <c r="AQ5" s="33">
        <f t="shared" si="2"/>
        <v>4125</v>
      </c>
      <c r="AR5" s="36">
        <v>3</v>
      </c>
      <c r="AS5" s="33">
        <v>750</v>
      </c>
      <c r="AT5" s="35">
        <f>AT4+AS5</f>
        <v>2250</v>
      </c>
      <c r="AU5" s="32">
        <v>7</v>
      </c>
      <c r="AV5" s="33">
        <v>1500</v>
      </c>
      <c r="AW5" s="33">
        <f t="shared" si="3"/>
        <v>8250</v>
      </c>
    </row>
    <row r="6" spans="1:49" ht="17.100000000000001" customHeight="1" x14ac:dyDescent="0.25">
      <c r="E6" s="20"/>
      <c r="K6" s="5"/>
      <c r="L6" s="5"/>
      <c r="M6" s="14"/>
      <c r="N6" s="5"/>
      <c r="O6" s="5"/>
      <c r="P6" s="5"/>
      <c r="Q6" s="5"/>
      <c r="R6" s="5"/>
      <c r="S6" s="5"/>
      <c r="T6" s="14"/>
      <c r="U6" s="5"/>
      <c r="V6" s="5"/>
      <c r="W6" s="5"/>
      <c r="Y6" s="36"/>
      <c r="Z6" s="32"/>
      <c r="AA6" s="32"/>
      <c r="AB6" s="32">
        <v>8</v>
      </c>
      <c r="AC6" s="33">
        <v>250</v>
      </c>
      <c r="AD6" s="33">
        <f t="shared" si="0"/>
        <v>1625</v>
      </c>
      <c r="AE6" s="36"/>
      <c r="AF6" s="32"/>
      <c r="AG6" s="32"/>
      <c r="AH6" s="32">
        <v>8</v>
      </c>
      <c r="AI6" s="33">
        <v>500</v>
      </c>
      <c r="AJ6" s="33">
        <f t="shared" si="1"/>
        <v>3250</v>
      </c>
      <c r="AL6" s="36"/>
      <c r="AM6" s="32"/>
      <c r="AN6" s="32"/>
      <c r="AO6" s="32">
        <v>8</v>
      </c>
      <c r="AP6" s="33">
        <v>750</v>
      </c>
      <c r="AQ6" s="33">
        <f t="shared" si="2"/>
        <v>4875</v>
      </c>
      <c r="AR6" s="36"/>
      <c r="AS6" s="32"/>
      <c r="AT6" s="32"/>
      <c r="AU6" s="32">
        <v>8</v>
      </c>
      <c r="AV6" s="33">
        <v>1500</v>
      </c>
      <c r="AW6" s="33">
        <f t="shared" si="3"/>
        <v>9750</v>
      </c>
    </row>
    <row r="7" spans="1:49" ht="17.100000000000001" customHeight="1" x14ac:dyDescent="0.25">
      <c r="A7" s="47" t="s">
        <v>63</v>
      </c>
      <c r="B7" s="47"/>
      <c r="C7" s="47"/>
      <c r="D7" s="47"/>
      <c r="E7" s="47"/>
      <c r="F7" s="47" t="s">
        <v>6</v>
      </c>
      <c r="G7" s="47"/>
      <c r="H7" s="47" t="s">
        <v>1</v>
      </c>
      <c r="I7" s="47"/>
      <c r="J7" s="40" t="s">
        <v>57</v>
      </c>
      <c r="K7" s="15" t="s">
        <v>6</v>
      </c>
      <c r="L7" s="16" t="s">
        <v>44</v>
      </c>
      <c r="M7" s="17" t="s">
        <v>17</v>
      </c>
      <c r="N7" s="16" t="s">
        <v>16</v>
      </c>
      <c r="O7" s="17" t="s">
        <v>15</v>
      </c>
      <c r="P7" s="16" t="s">
        <v>19</v>
      </c>
      <c r="Q7" s="10"/>
      <c r="R7" s="15" t="s">
        <v>1</v>
      </c>
      <c r="S7" s="16" t="s">
        <v>44</v>
      </c>
      <c r="T7" s="17" t="s">
        <v>17</v>
      </c>
      <c r="U7" s="16" t="s">
        <v>16</v>
      </c>
      <c r="V7" s="17" t="s">
        <v>15</v>
      </c>
      <c r="W7" s="16" t="s">
        <v>19</v>
      </c>
      <c r="Y7" s="36"/>
      <c r="Z7" s="32"/>
      <c r="AA7" s="32"/>
      <c r="AB7" s="32">
        <v>9</v>
      </c>
      <c r="AC7" s="33">
        <v>250</v>
      </c>
      <c r="AD7" s="33">
        <f t="shared" si="0"/>
        <v>1875</v>
      </c>
      <c r="AE7" s="36"/>
      <c r="AF7" s="32"/>
      <c r="AG7" s="32"/>
      <c r="AH7" s="32">
        <v>9</v>
      </c>
      <c r="AI7" s="33">
        <v>500</v>
      </c>
      <c r="AJ7" s="33">
        <f t="shared" si="1"/>
        <v>3750</v>
      </c>
      <c r="AL7" s="36"/>
      <c r="AM7" s="32"/>
      <c r="AN7" s="32"/>
      <c r="AO7" s="32">
        <v>9</v>
      </c>
      <c r="AP7" s="33">
        <v>750</v>
      </c>
      <c r="AQ7" s="33">
        <f t="shared" si="2"/>
        <v>5625</v>
      </c>
      <c r="AR7" s="36"/>
      <c r="AS7" s="32"/>
      <c r="AT7" s="32"/>
      <c r="AU7" s="32">
        <v>9</v>
      </c>
      <c r="AV7" s="33">
        <v>1500</v>
      </c>
      <c r="AW7" s="33">
        <f t="shared" si="3"/>
        <v>11250</v>
      </c>
    </row>
    <row r="8" spans="1:49" ht="17.100000000000001" customHeight="1" x14ac:dyDescent="0.25">
      <c r="A8" s="5" t="s">
        <v>14</v>
      </c>
      <c r="B8" s="5" t="s">
        <v>30</v>
      </c>
      <c r="C8" s="5" t="s">
        <v>31</v>
      </c>
      <c r="D8" s="5" t="s">
        <v>32</v>
      </c>
      <c r="E8" s="5" t="s">
        <v>36</v>
      </c>
      <c r="F8" s="5" t="s">
        <v>7</v>
      </c>
      <c r="G8" s="5" t="s">
        <v>8</v>
      </c>
      <c r="H8" s="5" t="s">
        <v>7</v>
      </c>
      <c r="I8" s="5" t="s">
        <v>8</v>
      </c>
      <c r="M8" s="12" t="s">
        <v>4</v>
      </c>
      <c r="N8" s="12" t="s">
        <v>18</v>
      </c>
      <c r="T8" s="12" t="s">
        <v>4</v>
      </c>
      <c r="U8" s="12" t="s">
        <v>18</v>
      </c>
      <c r="Y8" s="36"/>
      <c r="Z8" s="32"/>
      <c r="AA8" s="32"/>
      <c r="AB8" s="32">
        <v>10</v>
      </c>
      <c r="AC8" s="33">
        <v>400</v>
      </c>
      <c r="AD8" s="34">
        <f t="shared" si="0"/>
        <v>2275</v>
      </c>
      <c r="AE8" s="36"/>
      <c r="AF8" s="32"/>
      <c r="AG8" s="32"/>
      <c r="AH8" s="32">
        <v>10</v>
      </c>
      <c r="AI8" s="33">
        <v>800</v>
      </c>
      <c r="AJ8" s="34">
        <f t="shared" si="1"/>
        <v>4550</v>
      </c>
      <c r="AL8" s="36"/>
      <c r="AM8" s="32"/>
      <c r="AN8" s="32"/>
      <c r="AO8" s="32">
        <v>10</v>
      </c>
      <c r="AP8" s="33">
        <v>1200</v>
      </c>
      <c r="AQ8" s="35">
        <f t="shared" si="2"/>
        <v>6825</v>
      </c>
      <c r="AR8" s="36"/>
      <c r="AS8" s="32"/>
      <c r="AT8" s="32"/>
      <c r="AU8" s="32">
        <v>10</v>
      </c>
      <c r="AV8" s="33">
        <v>2400</v>
      </c>
      <c r="AW8" s="35">
        <f t="shared" si="3"/>
        <v>13650</v>
      </c>
    </row>
    <row r="9" spans="1:49" ht="17.100000000000001" customHeight="1" x14ac:dyDescent="0.2">
      <c r="A9" s="5" t="s">
        <v>23</v>
      </c>
      <c r="B9" s="4" t="s">
        <v>20</v>
      </c>
      <c r="C9" s="5" t="s">
        <v>17</v>
      </c>
      <c r="D9" s="5">
        <v>7</v>
      </c>
      <c r="E9" s="20" t="s">
        <v>37</v>
      </c>
      <c r="F9" s="22">
        <v>125</v>
      </c>
      <c r="G9" s="22">
        <v>250</v>
      </c>
      <c r="H9" s="26">
        <v>375</v>
      </c>
      <c r="I9" s="26">
        <v>750</v>
      </c>
      <c r="J9" s="26"/>
      <c r="K9" s="5" t="s">
        <v>5</v>
      </c>
      <c r="L9" s="5" t="s">
        <v>9</v>
      </c>
      <c r="M9" s="5" t="s">
        <v>7</v>
      </c>
      <c r="N9" s="5" t="s">
        <v>5</v>
      </c>
      <c r="O9" s="5" t="s">
        <v>10</v>
      </c>
      <c r="P9" s="5" t="s">
        <v>8</v>
      </c>
      <c r="Q9" s="5"/>
      <c r="R9" s="5" t="s">
        <v>5</v>
      </c>
      <c r="S9" s="5" t="s">
        <v>9</v>
      </c>
      <c r="T9" s="5" t="s">
        <v>7</v>
      </c>
      <c r="U9" s="5" t="s">
        <v>5</v>
      </c>
      <c r="V9" s="5" t="s">
        <v>10</v>
      </c>
      <c r="W9" s="5" t="s">
        <v>8</v>
      </c>
      <c r="Y9" s="2"/>
      <c r="Z9" s="1"/>
      <c r="AA9" s="1"/>
      <c r="AB9" s="1"/>
      <c r="AC9" s="3"/>
      <c r="AD9" s="3"/>
      <c r="AE9" s="2"/>
      <c r="AF9" s="1"/>
      <c r="AG9" s="1"/>
      <c r="AH9" s="1"/>
      <c r="AI9" s="3"/>
      <c r="AJ9" s="3"/>
      <c r="AL9" s="5"/>
      <c r="AQ9" s="4"/>
      <c r="AR9" s="5"/>
    </row>
    <row r="10" spans="1:49" ht="17.100000000000001" customHeight="1" x14ac:dyDescent="0.25">
      <c r="A10" s="5" t="s">
        <v>24</v>
      </c>
      <c r="B10" s="4" t="s">
        <v>21</v>
      </c>
      <c r="C10" s="5" t="s">
        <v>16</v>
      </c>
      <c r="D10" s="5">
        <v>7</v>
      </c>
      <c r="E10" s="20" t="s">
        <v>39</v>
      </c>
      <c r="F10" s="22">
        <v>250</v>
      </c>
      <c r="G10" s="22">
        <v>500</v>
      </c>
      <c r="H10" s="26">
        <v>750</v>
      </c>
      <c r="I10" s="26">
        <v>1500</v>
      </c>
      <c r="J10" s="26"/>
      <c r="K10" s="5">
        <v>0</v>
      </c>
      <c r="L10" s="5">
        <v>0</v>
      </c>
      <c r="M10" s="24">
        <v>125</v>
      </c>
      <c r="N10" s="5">
        <v>0</v>
      </c>
      <c r="O10" s="5">
        <v>0</v>
      </c>
      <c r="P10" s="22">
        <v>250</v>
      </c>
      <c r="Q10" s="5"/>
      <c r="R10" s="5">
        <v>0</v>
      </c>
      <c r="S10" s="5">
        <v>0</v>
      </c>
      <c r="T10" s="26">
        <v>375</v>
      </c>
      <c r="U10" s="5">
        <v>0</v>
      </c>
      <c r="V10" s="5">
        <v>0</v>
      </c>
      <c r="W10" s="26">
        <v>750</v>
      </c>
      <c r="Y10" s="11" t="s">
        <v>6</v>
      </c>
      <c r="Z10" s="11" t="s">
        <v>7</v>
      </c>
      <c r="AA10" s="11"/>
      <c r="AB10" s="11"/>
      <c r="AC10" s="11"/>
      <c r="AD10" s="11"/>
      <c r="AE10" s="11" t="s">
        <v>6</v>
      </c>
      <c r="AF10" s="11" t="s">
        <v>8</v>
      </c>
      <c r="AG10" s="11"/>
      <c r="AH10" s="11"/>
      <c r="AI10" s="11"/>
      <c r="AJ10" s="11"/>
      <c r="AL10" s="6" t="s">
        <v>1</v>
      </c>
      <c r="AM10" s="6" t="s">
        <v>7</v>
      </c>
      <c r="AN10" s="37"/>
      <c r="AO10" s="37"/>
      <c r="AP10" s="37"/>
      <c r="AQ10" s="37"/>
      <c r="AR10" s="6" t="s">
        <v>1</v>
      </c>
      <c r="AS10" s="6" t="s">
        <v>8</v>
      </c>
      <c r="AT10" s="33"/>
      <c r="AU10" s="32"/>
      <c r="AV10" s="33"/>
      <c r="AW10" s="33"/>
    </row>
    <row r="11" spans="1:49" ht="17.100000000000001" customHeight="1" x14ac:dyDescent="0.2">
      <c r="E11" s="20" t="s">
        <v>38</v>
      </c>
      <c r="F11" s="22">
        <v>400</v>
      </c>
      <c r="G11" s="22">
        <v>800</v>
      </c>
      <c r="H11" s="26">
        <v>1200</v>
      </c>
      <c r="I11" s="26">
        <v>2400</v>
      </c>
      <c r="J11" s="26"/>
      <c r="K11" s="5">
        <v>7</v>
      </c>
      <c r="L11" s="28">
        <v>875</v>
      </c>
      <c r="M11" s="24">
        <v>250</v>
      </c>
      <c r="N11" s="5">
        <v>7</v>
      </c>
      <c r="O11" s="28">
        <v>1750</v>
      </c>
      <c r="P11" s="22">
        <v>500</v>
      </c>
      <c r="Q11" s="5"/>
      <c r="R11" s="5">
        <v>7</v>
      </c>
      <c r="S11" s="30">
        <v>2625</v>
      </c>
      <c r="T11" s="26">
        <v>750</v>
      </c>
      <c r="U11" s="5">
        <v>7</v>
      </c>
      <c r="V11" s="30">
        <v>5250</v>
      </c>
      <c r="W11" s="26">
        <v>1500</v>
      </c>
      <c r="Y11" s="2">
        <v>0</v>
      </c>
      <c r="Z11" s="1">
        <v>0</v>
      </c>
      <c r="AA11" s="1">
        <f>Z11</f>
        <v>0</v>
      </c>
      <c r="AB11" s="1"/>
      <c r="AC11" s="1"/>
      <c r="AD11" s="1"/>
      <c r="AE11" s="2">
        <v>0</v>
      </c>
      <c r="AF11" s="1">
        <v>0</v>
      </c>
      <c r="AG11" s="1">
        <f>AF11</f>
        <v>0</v>
      </c>
      <c r="AH11" s="1"/>
      <c r="AI11" s="1"/>
      <c r="AJ11" s="1"/>
      <c r="AL11" s="1">
        <v>0</v>
      </c>
      <c r="AM11" s="1">
        <v>0</v>
      </c>
      <c r="AN11" s="1">
        <f>AM11</f>
        <v>0</v>
      </c>
      <c r="AO11" s="1"/>
      <c r="AP11" s="1"/>
      <c r="AQ11" s="1"/>
      <c r="AR11" s="1">
        <v>0</v>
      </c>
      <c r="AS11" s="1">
        <v>0</v>
      </c>
      <c r="AT11" s="1">
        <f>AS11</f>
        <v>0</v>
      </c>
      <c r="AU11" s="1"/>
      <c r="AV11" s="1"/>
      <c r="AW11" s="1"/>
    </row>
    <row r="12" spans="1:49" ht="17.100000000000001" customHeight="1" x14ac:dyDescent="0.2">
      <c r="A12" s="5" t="s">
        <v>25</v>
      </c>
      <c r="B12" s="4" t="s">
        <v>41</v>
      </c>
      <c r="C12" s="5" t="s">
        <v>15</v>
      </c>
      <c r="D12" s="5">
        <v>7</v>
      </c>
      <c r="E12" s="20"/>
      <c r="K12" s="5">
        <v>14</v>
      </c>
      <c r="L12" s="28">
        <v>2625</v>
      </c>
      <c r="M12" s="24">
        <v>400</v>
      </c>
      <c r="N12" s="5">
        <v>14</v>
      </c>
      <c r="O12" s="28">
        <v>5250</v>
      </c>
      <c r="P12" s="22">
        <v>800</v>
      </c>
      <c r="Q12" s="5"/>
      <c r="R12" s="5">
        <v>14</v>
      </c>
      <c r="S12" s="30">
        <v>7875</v>
      </c>
      <c r="T12" s="26">
        <v>1200</v>
      </c>
      <c r="U12" s="5">
        <v>14</v>
      </c>
      <c r="V12" s="30">
        <v>15750</v>
      </c>
      <c r="W12" s="26">
        <v>2400</v>
      </c>
      <c r="Y12" s="2">
        <v>1</v>
      </c>
      <c r="Z12" s="3">
        <v>125</v>
      </c>
      <c r="AA12" s="3">
        <f>Z11+Z12</f>
        <v>125</v>
      </c>
      <c r="AB12" s="1">
        <v>8</v>
      </c>
      <c r="AC12" s="1">
        <v>250</v>
      </c>
      <c r="AD12" s="3">
        <f>AA18+AC12</f>
        <v>1125</v>
      </c>
      <c r="AE12" s="2">
        <v>1</v>
      </c>
      <c r="AF12" s="3">
        <v>250</v>
      </c>
      <c r="AG12" s="3">
        <f>AF11+AF12</f>
        <v>250</v>
      </c>
      <c r="AH12" s="1">
        <v>8</v>
      </c>
      <c r="AI12" s="1">
        <v>500</v>
      </c>
      <c r="AJ12" s="3">
        <f>AG18+AI12</f>
        <v>2250</v>
      </c>
      <c r="AL12" s="1">
        <v>1</v>
      </c>
      <c r="AM12" s="3">
        <v>375</v>
      </c>
      <c r="AN12" s="3">
        <f>AM11+AM12</f>
        <v>375</v>
      </c>
      <c r="AO12" s="1">
        <v>8</v>
      </c>
      <c r="AP12" s="1">
        <v>750</v>
      </c>
      <c r="AQ12" s="3">
        <f>AN18+AP12</f>
        <v>3375</v>
      </c>
      <c r="AR12" s="1">
        <v>1</v>
      </c>
      <c r="AS12" s="3">
        <v>750</v>
      </c>
      <c r="AT12" s="3">
        <f>AS11+AS12</f>
        <v>750</v>
      </c>
      <c r="AU12" s="1">
        <v>8</v>
      </c>
      <c r="AV12" s="1">
        <v>1500</v>
      </c>
      <c r="AW12" s="3">
        <f>AT18+AV12</f>
        <v>6750</v>
      </c>
    </row>
    <row r="13" spans="1:49" ht="17.100000000000001" customHeight="1" x14ac:dyDescent="0.2">
      <c r="C13" s="5" t="s">
        <v>19</v>
      </c>
      <c r="D13" s="5">
        <v>7</v>
      </c>
      <c r="E13" s="20"/>
      <c r="Y13" s="2">
        <v>2</v>
      </c>
      <c r="Z13" s="3">
        <v>125</v>
      </c>
      <c r="AA13" s="3">
        <f t="shared" ref="AA13:AA18" si="4">AA12+Z13</f>
        <v>250</v>
      </c>
      <c r="AB13" s="1">
        <v>9</v>
      </c>
      <c r="AC13" s="1">
        <v>250</v>
      </c>
      <c r="AD13" s="3">
        <f t="shared" ref="AD13:AD18" si="5">AD12+AC13</f>
        <v>1375</v>
      </c>
      <c r="AE13" s="2">
        <v>2</v>
      </c>
      <c r="AF13" s="3">
        <v>250</v>
      </c>
      <c r="AG13" s="3">
        <f t="shared" ref="AG13:AG18" si="6">AG12+AF13</f>
        <v>500</v>
      </c>
      <c r="AH13" s="1">
        <v>9</v>
      </c>
      <c r="AI13" s="1">
        <v>500</v>
      </c>
      <c r="AJ13" s="3">
        <f t="shared" ref="AJ13:AJ18" si="7">AJ12+AI13</f>
        <v>2750</v>
      </c>
      <c r="AL13" s="1">
        <v>2</v>
      </c>
      <c r="AM13" s="3">
        <v>375</v>
      </c>
      <c r="AN13" s="3">
        <f t="shared" ref="AN13:AN18" si="8">AN12+AM13</f>
        <v>750</v>
      </c>
      <c r="AO13" s="1">
        <v>9</v>
      </c>
      <c r="AP13" s="1">
        <v>750</v>
      </c>
      <c r="AQ13" s="3">
        <f t="shared" ref="AQ13:AQ18" si="9">AQ12+AP13</f>
        <v>4125</v>
      </c>
      <c r="AR13" s="1">
        <v>2</v>
      </c>
      <c r="AS13" s="3">
        <v>750</v>
      </c>
      <c r="AT13" s="3">
        <f t="shared" ref="AT13:AT18" si="10">AT12+AS13</f>
        <v>1500</v>
      </c>
      <c r="AU13" s="1">
        <v>9</v>
      </c>
      <c r="AV13" s="1">
        <v>1500</v>
      </c>
      <c r="AW13" s="3">
        <f t="shared" ref="AW13:AW18" si="11">AW12+AV13</f>
        <v>8250</v>
      </c>
    </row>
    <row r="14" spans="1:49" ht="17.100000000000001" customHeight="1" x14ac:dyDescent="0.2">
      <c r="A14" s="5" t="s">
        <v>26</v>
      </c>
      <c r="B14" s="4" t="s">
        <v>42</v>
      </c>
      <c r="C14" s="40" t="s">
        <v>16</v>
      </c>
      <c r="D14" s="5">
        <v>7</v>
      </c>
      <c r="E14" s="20"/>
      <c r="X14" s="4"/>
      <c r="Y14" s="2">
        <v>3</v>
      </c>
      <c r="Z14" s="3">
        <v>125</v>
      </c>
      <c r="AA14" s="3">
        <f t="shared" si="4"/>
        <v>375</v>
      </c>
      <c r="AB14" s="1">
        <v>10</v>
      </c>
      <c r="AC14" s="1">
        <v>250</v>
      </c>
      <c r="AD14" s="3">
        <f t="shared" si="5"/>
        <v>1625</v>
      </c>
      <c r="AE14" s="2">
        <v>3</v>
      </c>
      <c r="AF14" s="3">
        <v>250</v>
      </c>
      <c r="AG14" s="3">
        <f t="shared" si="6"/>
        <v>750</v>
      </c>
      <c r="AH14" s="1">
        <v>10</v>
      </c>
      <c r="AI14" s="1">
        <v>500</v>
      </c>
      <c r="AJ14" s="3">
        <f t="shared" si="7"/>
        <v>3250</v>
      </c>
      <c r="AL14" s="1">
        <v>3</v>
      </c>
      <c r="AM14" s="3">
        <v>375</v>
      </c>
      <c r="AN14" s="3">
        <f t="shared" si="8"/>
        <v>1125</v>
      </c>
      <c r="AO14" s="1">
        <v>10</v>
      </c>
      <c r="AP14" s="1">
        <v>750</v>
      </c>
      <c r="AQ14" s="3">
        <f t="shared" si="9"/>
        <v>4875</v>
      </c>
      <c r="AR14" s="1">
        <v>3</v>
      </c>
      <c r="AS14" s="3">
        <v>750</v>
      </c>
      <c r="AT14" s="3">
        <f t="shared" si="10"/>
        <v>2250</v>
      </c>
      <c r="AU14" s="1">
        <v>10</v>
      </c>
      <c r="AV14" s="1">
        <v>1500</v>
      </c>
      <c r="AW14" s="3">
        <f t="shared" si="11"/>
        <v>9750</v>
      </c>
    </row>
    <row r="15" spans="1:49" ht="17.100000000000001" customHeight="1" x14ac:dyDescent="0.2">
      <c r="A15" s="9"/>
      <c r="B15" s="8" t="s">
        <v>45</v>
      </c>
      <c r="C15" s="46" t="s">
        <v>64</v>
      </c>
      <c r="D15" s="41">
        <v>7</v>
      </c>
      <c r="E15" s="21"/>
      <c r="F15" s="9"/>
      <c r="G15" s="9"/>
      <c r="H15" s="9"/>
      <c r="I15" s="9"/>
      <c r="K15" s="8"/>
      <c r="L15" s="8"/>
      <c r="M15" s="8"/>
      <c r="N15" s="8"/>
      <c r="O15" s="8"/>
      <c r="P15" s="8"/>
      <c r="R15" s="8"/>
      <c r="S15" s="8"/>
      <c r="T15" s="8"/>
      <c r="U15" s="8"/>
      <c r="V15" s="8"/>
      <c r="W15" s="8"/>
      <c r="X15" s="4"/>
      <c r="Y15" s="2">
        <v>4</v>
      </c>
      <c r="Z15" s="3">
        <v>125</v>
      </c>
      <c r="AA15" s="3">
        <f t="shared" si="4"/>
        <v>500</v>
      </c>
      <c r="AB15" s="1">
        <v>11</v>
      </c>
      <c r="AC15" s="1">
        <v>250</v>
      </c>
      <c r="AD15" s="3">
        <f t="shared" si="5"/>
        <v>1875</v>
      </c>
      <c r="AE15" s="2">
        <v>4</v>
      </c>
      <c r="AF15" s="3">
        <v>250</v>
      </c>
      <c r="AG15" s="3">
        <f t="shared" si="6"/>
        <v>1000</v>
      </c>
      <c r="AH15" s="1">
        <v>11</v>
      </c>
      <c r="AI15" s="1">
        <v>500</v>
      </c>
      <c r="AJ15" s="3">
        <f t="shared" si="7"/>
        <v>3750</v>
      </c>
      <c r="AL15" s="1">
        <v>4</v>
      </c>
      <c r="AM15" s="3">
        <v>375</v>
      </c>
      <c r="AN15" s="3">
        <f t="shared" si="8"/>
        <v>1500</v>
      </c>
      <c r="AO15" s="1">
        <v>11</v>
      </c>
      <c r="AP15" s="1">
        <v>750</v>
      </c>
      <c r="AQ15" s="3">
        <f t="shared" si="9"/>
        <v>5625</v>
      </c>
      <c r="AR15" s="1">
        <v>4</v>
      </c>
      <c r="AS15" s="3">
        <v>750</v>
      </c>
      <c r="AT15" s="3">
        <f t="shared" si="10"/>
        <v>3000</v>
      </c>
      <c r="AU15" s="1">
        <v>11</v>
      </c>
      <c r="AV15" s="1">
        <v>1500</v>
      </c>
      <c r="AW15" s="3">
        <f t="shared" si="11"/>
        <v>11250</v>
      </c>
    </row>
    <row r="16" spans="1:49" ht="17.100000000000001" customHeight="1" x14ac:dyDescent="0.2">
      <c r="E16" s="20"/>
      <c r="X16" s="4"/>
      <c r="Y16" s="2">
        <v>5</v>
      </c>
      <c r="Z16" s="3">
        <v>125</v>
      </c>
      <c r="AA16" s="3">
        <f t="shared" si="4"/>
        <v>625</v>
      </c>
      <c r="AB16" s="1">
        <v>12</v>
      </c>
      <c r="AC16" s="1">
        <v>250</v>
      </c>
      <c r="AD16" s="3">
        <f t="shared" si="5"/>
        <v>2125</v>
      </c>
      <c r="AE16" s="2">
        <v>5</v>
      </c>
      <c r="AF16" s="3">
        <v>250</v>
      </c>
      <c r="AG16" s="3">
        <f t="shared" si="6"/>
        <v>1250</v>
      </c>
      <c r="AH16" s="1">
        <v>12</v>
      </c>
      <c r="AI16" s="1">
        <v>500</v>
      </c>
      <c r="AJ16" s="3">
        <f t="shared" si="7"/>
        <v>4250</v>
      </c>
      <c r="AL16" s="1">
        <v>5</v>
      </c>
      <c r="AM16" s="3">
        <v>375</v>
      </c>
      <c r="AN16" s="3">
        <f t="shared" si="8"/>
        <v>1875</v>
      </c>
      <c r="AO16" s="1">
        <v>12</v>
      </c>
      <c r="AP16" s="1">
        <v>750</v>
      </c>
      <c r="AQ16" s="3">
        <f t="shared" si="9"/>
        <v>6375</v>
      </c>
      <c r="AR16" s="1">
        <v>5</v>
      </c>
      <c r="AS16" s="3">
        <v>750</v>
      </c>
      <c r="AT16" s="3">
        <f t="shared" si="10"/>
        <v>3750</v>
      </c>
      <c r="AU16" s="1">
        <v>12</v>
      </c>
      <c r="AV16" s="1">
        <v>1500</v>
      </c>
      <c r="AW16" s="3">
        <f t="shared" si="11"/>
        <v>12750</v>
      </c>
    </row>
    <row r="17" spans="1:49" ht="17.100000000000001" customHeight="1" x14ac:dyDescent="0.2">
      <c r="A17" s="47" t="s">
        <v>63</v>
      </c>
      <c r="B17" s="47"/>
      <c r="C17" s="47"/>
      <c r="D17" s="47"/>
      <c r="E17" s="47"/>
      <c r="F17" s="47" t="s">
        <v>6</v>
      </c>
      <c r="G17" s="47"/>
      <c r="H17" s="47" t="s">
        <v>1</v>
      </c>
      <c r="I17" s="47"/>
      <c r="J17" s="40" t="s">
        <v>58</v>
      </c>
      <c r="K17" s="15" t="s">
        <v>6</v>
      </c>
      <c r="L17" s="16" t="s">
        <v>14</v>
      </c>
      <c r="M17" s="16" t="s">
        <v>2</v>
      </c>
      <c r="N17" s="16" t="s">
        <v>29</v>
      </c>
      <c r="O17" s="19"/>
      <c r="P17" s="19"/>
      <c r="Q17" s="13"/>
      <c r="R17" s="15" t="s">
        <v>1</v>
      </c>
      <c r="S17" s="16" t="s">
        <v>14</v>
      </c>
      <c r="T17" s="16" t="s">
        <v>2</v>
      </c>
      <c r="U17" s="16" t="s">
        <v>29</v>
      </c>
      <c r="V17" s="19"/>
      <c r="W17" s="19"/>
      <c r="X17" s="4"/>
      <c r="Y17" s="2">
        <v>6</v>
      </c>
      <c r="Z17" s="3">
        <v>125</v>
      </c>
      <c r="AA17" s="3">
        <f t="shared" si="4"/>
        <v>750</v>
      </c>
      <c r="AB17" s="1">
        <v>13</v>
      </c>
      <c r="AC17" s="1">
        <v>250</v>
      </c>
      <c r="AD17" s="3">
        <f t="shared" si="5"/>
        <v>2375</v>
      </c>
      <c r="AE17" s="2">
        <v>6</v>
      </c>
      <c r="AF17" s="3">
        <v>250</v>
      </c>
      <c r="AG17" s="3">
        <f t="shared" si="6"/>
        <v>1500</v>
      </c>
      <c r="AH17" s="1">
        <v>13</v>
      </c>
      <c r="AI17" s="1">
        <v>500</v>
      </c>
      <c r="AJ17" s="3">
        <f t="shared" si="7"/>
        <v>4750</v>
      </c>
      <c r="AL17" s="1">
        <v>6</v>
      </c>
      <c r="AM17" s="3">
        <v>375</v>
      </c>
      <c r="AN17" s="3">
        <f t="shared" si="8"/>
        <v>2250</v>
      </c>
      <c r="AO17" s="1">
        <v>13</v>
      </c>
      <c r="AP17" s="1">
        <v>750</v>
      </c>
      <c r="AQ17" s="3">
        <f t="shared" si="9"/>
        <v>7125</v>
      </c>
      <c r="AR17" s="1">
        <v>6</v>
      </c>
      <c r="AS17" s="3">
        <v>750</v>
      </c>
      <c r="AT17" s="3">
        <f t="shared" si="10"/>
        <v>4500</v>
      </c>
      <c r="AU17" s="1">
        <v>13</v>
      </c>
      <c r="AV17" s="1">
        <v>1500</v>
      </c>
      <c r="AW17" s="3">
        <f t="shared" si="11"/>
        <v>14250</v>
      </c>
    </row>
    <row r="18" spans="1:49" ht="17.100000000000001" customHeight="1" x14ac:dyDescent="0.25">
      <c r="A18" s="5" t="s">
        <v>14</v>
      </c>
      <c r="B18" s="5" t="s">
        <v>30</v>
      </c>
      <c r="C18" s="5" t="s">
        <v>31</v>
      </c>
      <c r="D18" s="5" t="s">
        <v>32</v>
      </c>
      <c r="E18" s="5" t="s">
        <v>36</v>
      </c>
      <c r="F18" s="5" t="s">
        <v>7</v>
      </c>
      <c r="G18" s="5" t="s">
        <v>8</v>
      </c>
      <c r="H18" s="5" t="s">
        <v>7</v>
      </c>
      <c r="I18" s="5" t="s">
        <v>8</v>
      </c>
      <c r="K18" s="5" t="s">
        <v>5</v>
      </c>
      <c r="L18" s="5" t="s">
        <v>9</v>
      </c>
      <c r="M18" s="5" t="s">
        <v>7</v>
      </c>
      <c r="N18" s="5" t="s">
        <v>5</v>
      </c>
      <c r="O18" s="5" t="s">
        <v>10</v>
      </c>
      <c r="P18" s="5" t="s">
        <v>8</v>
      </c>
      <c r="Q18" s="5"/>
      <c r="R18" s="5" t="s">
        <v>5</v>
      </c>
      <c r="S18" s="5" t="s">
        <v>9</v>
      </c>
      <c r="T18" s="5" t="s">
        <v>7</v>
      </c>
      <c r="U18" s="5" t="s">
        <v>5</v>
      </c>
      <c r="V18" s="5" t="s">
        <v>10</v>
      </c>
      <c r="W18" s="5" t="s">
        <v>8</v>
      </c>
      <c r="X18" s="4"/>
      <c r="Y18" s="2">
        <v>7</v>
      </c>
      <c r="Z18" s="3">
        <v>125</v>
      </c>
      <c r="AA18" s="34">
        <f t="shared" si="4"/>
        <v>875</v>
      </c>
      <c r="AB18" s="1">
        <v>14</v>
      </c>
      <c r="AC18" s="1">
        <v>400</v>
      </c>
      <c r="AD18" s="34">
        <f t="shared" si="5"/>
        <v>2775</v>
      </c>
      <c r="AE18" s="2">
        <v>7</v>
      </c>
      <c r="AF18" s="3">
        <v>250</v>
      </c>
      <c r="AG18" s="34">
        <f t="shared" si="6"/>
        <v>1750</v>
      </c>
      <c r="AH18" s="1">
        <v>14</v>
      </c>
      <c r="AI18" s="1">
        <v>800</v>
      </c>
      <c r="AJ18" s="34">
        <f t="shared" si="7"/>
        <v>5550</v>
      </c>
      <c r="AL18" s="1">
        <v>7</v>
      </c>
      <c r="AM18" s="3">
        <v>375</v>
      </c>
      <c r="AN18" s="35">
        <f t="shared" si="8"/>
        <v>2625</v>
      </c>
      <c r="AO18" s="1">
        <v>14</v>
      </c>
      <c r="AP18" s="1">
        <v>1200</v>
      </c>
      <c r="AQ18" s="35">
        <f t="shared" si="9"/>
        <v>8325</v>
      </c>
      <c r="AR18" s="1">
        <v>7</v>
      </c>
      <c r="AS18" s="3">
        <v>750</v>
      </c>
      <c r="AT18" s="35">
        <f t="shared" si="10"/>
        <v>5250</v>
      </c>
      <c r="AU18" s="1">
        <v>14</v>
      </c>
      <c r="AV18" s="1">
        <v>2400</v>
      </c>
      <c r="AW18" s="35">
        <f t="shared" si="11"/>
        <v>16650</v>
      </c>
    </row>
    <row r="19" spans="1:49" ht="17.100000000000001" customHeight="1" x14ac:dyDescent="0.2">
      <c r="A19" s="5" t="s">
        <v>27</v>
      </c>
      <c r="C19" s="5" t="s">
        <v>2</v>
      </c>
      <c r="D19" s="5">
        <v>3</v>
      </c>
      <c r="E19" s="20" t="s">
        <v>37</v>
      </c>
      <c r="F19" s="22">
        <v>160</v>
      </c>
      <c r="G19" s="22">
        <v>320</v>
      </c>
      <c r="H19" s="26">
        <v>480</v>
      </c>
      <c r="I19" s="26">
        <v>960</v>
      </c>
      <c r="J19" s="26"/>
      <c r="K19" s="5">
        <v>0</v>
      </c>
      <c r="L19" s="5">
        <v>0</v>
      </c>
      <c r="M19" s="24">
        <v>160</v>
      </c>
      <c r="N19" s="5">
        <v>0</v>
      </c>
      <c r="O19" s="5">
        <v>0</v>
      </c>
      <c r="P19" s="22">
        <v>320</v>
      </c>
      <c r="Q19" s="5"/>
      <c r="R19" s="5">
        <v>0</v>
      </c>
      <c r="S19" s="5">
        <v>0</v>
      </c>
      <c r="T19" s="26">
        <v>480</v>
      </c>
      <c r="U19" s="5">
        <v>0</v>
      </c>
      <c r="V19" s="5">
        <v>0</v>
      </c>
      <c r="W19" s="26">
        <v>960</v>
      </c>
      <c r="X19" s="4"/>
      <c r="AL19" s="1"/>
      <c r="AM19" s="3"/>
      <c r="AN19" s="3"/>
      <c r="AO19" s="1"/>
      <c r="AP19" s="1"/>
      <c r="AQ19" s="3"/>
    </row>
    <row r="20" spans="1:49" ht="17.100000000000001" customHeight="1" x14ac:dyDescent="0.25">
      <c r="C20" s="5" t="s">
        <v>29</v>
      </c>
      <c r="D20" s="5">
        <v>3</v>
      </c>
      <c r="E20" s="20" t="s">
        <v>39</v>
      </c>
      <c r="F20" s="22">
        <v>275</v>
      </c>
      <c r="G20" s="22">
        <v>550</v>
      </c>
      <c r="H20" s="26">
        <v>825</v>
      </c>
      <c r="I20" s="26">
        <v>1650</v>
      </c>
      <c r="J20" s="26"/>
      <c r="K20" s="5">
        <v>7</v>
      </c>
      <c r="L20" s="28">
        <v>1120</v>
      </c>
      <c r="M20" s="24">
        <v>275</v>
      </c>
      <c r="N20" s="5">
        <v>7</v>
      </c>
      <c r="O20" s="28">
        <v>2240</v>
      </c>
      <c r="P20" s="22">
        <v>550</v>
      </c>
      <c r="Q20" s="5"/>
      <c r="R20" s="5">
        <v>7</v>
      </c>
      <c r="S20" s="30">
        <v>3360</v>
      </c>
      <c r="T20" s="26">
        <v>825</v>
      </c>
      <c r="U20" s="5">
        <v>7</v>
      </c>
      <c r="V20" s="30">
        <v>6720</v>
      </c>
      <c r="W20" s="26">
        <v>1650</v>
      </c>
      <c r="X20" s="4"/>
      <c r="Y20" s="11" t="s">
        <v>6</v>
      </c>
      <c r="Z20" s="11" t="s">
        <v>7</v>
      </c>
      <c r="AA20" s="11"/>
      <c r="AB20" s="11"/>
      <c r="AC20" s="11"/>
      <c r="AD20" s="11"/>
      <c r="AE20" s="11" t="s">
        <v>6</v>
      </c>
      <c r="AF20" s="11" t="s">
        <v>8</v>
      </c>
      <c r="AG20" s="11"/>
      <c r="AH20" s="11"/>
      <c r="AI20" s="11"/>
      <c r="AJ20" s="11"/>
      <c r="AL20" s="6" t="s">
        <v>1</v>
      </c>
      <c r="AM20" s="6" t="s">
        <v>7</v>
      </c>
      <c r="AN20" s="37"/>
      <c r="AO20" s="37"/>
      <c r="AP20" s="37"/>
      <c r="AQ20" s="37"/>
      <c r="AR20" s="6" t="s">
        <v>1</v>
      </c>
      <c r="AS20" s="6" t="s">
        <v>8</v>
      </c>
      <c r="AT20" s="33"/>
      <c r="AU20" s="32"/>
      <c r="AV20" s="33"/>
      <c r="AW20" s="33"/>
    </row>
    <row r="21" spans="1:49" ht="17.100000000000001" customHeight="1" x14ac:dyDescent="0.2">
      <c r="A21" s="9"/>
      <c r="B21" s="8"/>
      <c r="C21" s="9"/>
      <c r="D21" s="9"/>
      <c r="E21" s="21" t="s">
        <v>38</v>
      </c>
      <c r="F21" s="23">
        <v>390</v>
      </c>
      <c r="G21" s="23">
        <v>780</v>
      </c>
      <c r="H21" s="27">
        <v>1170</v>
      </c>
      <c r="I21" s="27">
        <v>2340</v>
      </c>
      <c r="J21" s="26"/>
      <c r="K21" s="9">
        <v>14</v>
      </c>
      <c r="L21" s="29">
        <v>3045</v>
      </c>
      <c r="M21" s="25">
        <v>390</v>
      </c>
      <c r="N21" s="9">
        <v>14</v>
      </c>
      <c r="O21" s="29">
        <v>6090</v>
      </c>
      <c r="P21" s="23">
        <v>780</v>
      </c>
      <c r="Q21" s="5"/>
      <c r="R21" s="9">
        <v>14</v>
      </c>
      <c r="S21" s="31">
        <v>9135</v>
      </c>
      <c r="T21" s="27">
        <v>1170</v>
      </c>
      <c r="U21" s="9">
        <v>14</v>
      </c>
      <c r="V21" s="31">
        <v>18270</v>
      </c>
      <c r="W21" s="27">
        <v>2340</v>
      </c>
      <c r="X21" s="4"/>
      <c r="Y21" s="1">
        <v>0</v>
      </c>
      <c r="Z21" s="1">
        <v>0</v>
      </c>
      <c r="AA21" s="1">
        <f>Z21</f>
        <v>0</v>
      </c>
      <c r="AB21" s="1"/>
      <c r="AC21" s="1"/>
      <c r="AD21" s="1"/>
      <c r="AE21" s="1">
        <v>0</v>
      </c>
      <c r="AF21" s="1">
        <v>0</v>
      </c>
      <c r="AG21" s="1">
        <f>AF21</f>
        <v>0</v>
      </c>
      <c r="AH21" s="1"/>
      <c r="AI21" s="1"/>
      <c r="AJ21" s="1"/>
      <c r="AL21" s="1">
        <v>0</v>
      </c>
      <c r="AM21" s="1">
        <v>0</v>
      </c>
      <c r="AN21" s="1">
        <f>AM21</f>
        <v>0</v>
      </c>
      <c r="AO21" s="1"/>
      <c r="AP21" s="1"/>
      <c r="AQ21" s="1"/>
      <c r="AR21" s="1">
        <v>0</v>
      </c>
      <c r="AS21" s="1">
        <v>0</v>
      </c>
      <c r="AT21" s="1">
        <f>AS21</f>
        <v>0</v>
      </c>
      <c r="AU21" s="1"/>
      <c r="AV21" s="1"/>
      <c r="AW21" s="1"/>
    </row>
    <row r="22" spans="1:49" ht="17.100000000000001" customHeight="1" x14ac:dyDescent="0.2">
      <c r="E22" s="20"/>
      <c r="K22" s="5"/>
      <c r="L22" s="5"/>
      <c r="M22" s="14"/>
      <c r="N22" s="5"/>
      <c r="O22" s="5"/>
      <c r="P22" s="5"/>
      <c r="Q22" s="5"/>
      <c r="R22" s="5"/>
      <c r="S22" s="5"/>
      <c r="T22" s="14"/>
      <c r="U22" s="5"/>
      <c r="V22" s="5"/>
      <c r="W22" s="5"/>
      <c r="X22" s="4"/>
      <c r="Y22" s="1">
        <v>1</v>
      </c>
      <c r="Z22" s="3">
        <v>160</v>
      </c>
      <c r="AA22" s="3">
        <f>Z21+Z22</f>
        <v>160</v>
      </c>
      <c r="AB22" s="1">
        <v>8</v>
      </c>
      <c r="AC22" s="1">
        <v>275</v>
      </c>
      <c r="AD22" s="3">
        <f>AA28+AC22</f>
        <v>1395</v>
      </c>
      <c r="AE22" s="1">
        <v>1</v>
      </c>
      <c r="AF22" s="3">
        <v>320</v>
      </c>
      <c r="AG22" s="3">
        <f>AF21+AF22</f>
        <v>320</v>
      </c>
      <c r="AH22" s="1">
        <v>8</v>
      </c>
      <c r="AI22" s="1">
        <v>550</v>
      </c>
      <c r="AJ22" s="3">
        <f>AG28+AI22</f>
        <v>2790</v>
      </c>
      <c r="AL22" s="1">
        <v>1</v>
      </c>
      <c r="AM22" s="3">
        <v>480</v>
      </c>
      <c r="AN22" s="3">
        <f>AM21+AM22</f>
        <v>480</v>
      </c>
      <c r="AO22" s="1">
        <v>8</v>
      </c>
      <c r="AP22" s="1">
        <v>825</v>
      </c>
      <c r="AQ22" s="3">
        <f>AN28+AP22</f>
        <v>4185</v>
      </c>
      <c r="AR22" s="1">
        <v>1</v>
      </c>
      <c r="AS22" s="3">
        <v>960</v>
      </c>
      <c r="AT22" s="3">
        <f>AS21+AS22</f>
        <v>960</v>
      </c>
      <c r="AU22" s="1">
        <v>8</v>
      </c>
      <c r="AV22" s="1">
        <v>1650</v>
      </c>
      <c r="AW22" s="3">
        <f>AT28+AV22</f>
        <v>8370</v>
      </c>
    </row>
    <row r="23" spans="1:49" ht="17.100000000000001" customHeight="1" x14ac:dyDescent="0.2">
      <c r="A23" s="47" t="s">
        <v>63</v>
      </c>
      <c r="B23" s="47"/>
      <c r="C23" s="47"/>
      <c r="D23" s="47"/>
      <c r="E23" s="47"/>
      <c r="F23" s="47" t="s">
        <v>6</v>
      </c>
      <c r="G23" s="47"/>
      <c r="H23" s="47" t="s">
        <v>1</v>
      </c>
      <c r="I23" s="47"/>
      <c r="J23" s="40" t="s">
        <v>59</v>
      </c>
      <c r="K23" s="15" t="s">
        <v>6</v>
      </c>
      <c r="L23" s="16" t="s">
        <v>14</v>
      </c>
      <c r="M23" s="16" t="s">
        <v>3</v>
      </c>
      <c r="N23" s="19"/>
      <c r="O23" s="19"/>
      <c r="P23" s="19"/>
      <c r="Q23" s="13"/>
      <c r="R23" s="15" t="s">
        <v>1</v>
      </c>
      <c r="S23" s="16" t="s">
        <v>14</v>
      </c>
      <c r="T23" s="16" t="s">
        <v>3</v>
      </c>
      <c r="U23" s="19"/>
      <c r="V23" s="19"/>
      <c r="W23" s="19"/>
      <c r="Y23" s="1">
        <v>2</v>
      </c>
      <c r="Z23" s="3">
        <v>160</v>
      </c>
      <c r="AA23" s="3">
        <f t="shared" ref="AA23:AA28" si="12">AA22+Z23</f>
        <v>320</v>
      </c>
      <c r="AB23" s="1">
        <v>9</v>
      </c>
      <c r="AC23" s="1">
        <v>275</v>
      </c>
      <c r="AD23" s="3">
        <f t="shared" ref="AD23:AD28" si="13">AD22+AC23</f>
        <v>1670</v>
      </c>
      <c r="AE23" s="1">
        <v>2</v>
      </c>
      <c r="AF23" s="3">
        <v>320</v>
      </c>
      <c r="AG23" s="3">
        <f t="shared" ref="AG23:AG28" si="14">AG22+AF23</f>
        <v>640</v>
      </c>
      <c r="AH23" s="1">
        <v>9</v>
      </c>
      <c r="AI23" s="1">
        <v>550</v>
      </c>
      <c r="AJ23" s="3">
        <f t="shared" ref="AJ23:AJ28" si="15">AJ22+AI23</f>
        <v>3340</v>
      </c>
      <c r="AL23" s="1">
        <v>2</v>
      </c>
      <c r="AM23" s="3">
        <v>480</v>
      </c>
      <c r="AN23" s="3">
        <f t="shared" ref="AN23:AN28" si="16">AN22+AM23</f>
        <v>960</v>
      </c>
      <c r="AO23" s="1">
        <v>9</v>
      </c>
      <c r="AP23" s="1">
        <v>825</v>
      </c>
      <c r="AQ23" s="3">
        <f t="shared" ref="AQ23:AQ28" si="17">AQ22+AP23</f>
        <v>5010</v>
      </c>
      <c r="AR23" s="1">
        <v>2</v>
      </c>
      <c r="AS23" s="3">
        <v>960</v>
      </c>
      <c r="AT23" s="3">
        <f t="shared" ref="AT23:AT28" si="18">AT22+AS23</f>
        <v>1920</v>
      </c>
      <c r="AU23" s="1">
        <v>9</v>
      </c>
      <c r="AV23" s="1">
        <v>1650</v>
      </c>
      <c r="AW23" s="3">
        <f t="shared" ref="AW23:AW28" si="19">AW22+AV23</f>
        <v>10020</v>
      </c>
    </row>
    <row r="24" spans="1:49" ht="17.100000000000001" customHeight="1" x14ac:dyDescent="0.2">
      <c r="A24" s="5" t="s">
        <v>14</v>
      </c>
      <c r="B24" s="5" t="s">
        <v>30</v>
      </c>
      <c r="C24" s="5" t="s">
        <v>31</v>
      </c>
      <c r="D24" s="5" t="s">
        <v>32</v>
      </c>
      <c r="E24" s="5" t="s">
        <v>36</v>
      </c>
      <c r="F24" s="5" t="s">
        <v>7</v>
      </c>
      <c r="G24" s="5" t="s">
        <v>8</v>
      </c>
      <c r="H24" s="5" t="s">
        <v>7</v>
      </c>
      <c r="I24" s="5" t="s">
        <v>8</v>
      </c>
      <c r="K24" s="5" t="s">
        <v>5</v>
      </c>
      <c r="L24" s="5" t="s">
        <v>9</v>
      </c>
      <c r="M24" s="5" t="s">
        <v>7</v>
      </c>
      <c r="N24" s="5" t="s">
        <v>5</v>
      </c>
      <c r="O24" s="5" t="s">
        <v>10</v>
      </c>
      <c r="P24" s="5" t="s">
        <v>8</v>
      </c>
      <c r="Q24" s="5"/>
      <c r="R24" s="5" t="s">
        <v>5</v>
      </c>
      <c r="S24" s="5" t="s">
        <v>9</v>
      </c>
      <c r="T24" s="5" t="s">
        <v>7</v>
      </c>
      <c r="U24" s="5" t="s">
        <v>5</v>
      </c>
      <c r="V24" s="5" t="s">
        <v>10</v>
      </c>
      <c r="W24" s="5" t="s">
        <v>8</v>
      </c>
      <c r="Y24" s="1">
        <v>3</v>
      </c>
      <c r="Z24" s="3">
        <v>160</v>
      </c>
      <c r="AA24" s="3">
        <f t="shared" si="12"/>
        <v>480</v>
      </c>
      <c r="AB24" s="1">
        <v>10</v>
      </c>
      <c r="AC24" s="1">
        <v>275</v>
      </c>
      <c r="AD24" s="3">
        <f t="shared" si="13"/>
        <v>1945</v>
      </c>
      <c r="AE24" s="1">
        <v>3</v>
      </c>
      <c r="AF24" s="3">
        <v>320</v>
      </c>
      <c r="AG24" s="3">
        <f t="shared" si="14"/>
        <v>960</v>
      </c>
      <c r="AH24" s="1">
        <v>10</v>
      </c>
      <c r="AI24" s="1">
        <v>550</v>
      </c>
      <c r="AJ24" s="3">
        <f t="shared" si="15"/>
        <v>3890</v>
      </c>
      <c r="AL24" s="1">
        <v>3</v>
      </c>
      <c r="AM24" s="3">
        <v>480</v>
      </c>
      <c r="AN24" s="3">
        <f t="shared" si="16"/>
        <v>1440</v>
      </c>
      <c r="AO24" s="1">
        <v>10</v>
      </c>
      <c r="AP24" s="1">
        <v>825</v>
      </c>
      <c r="AQ24" s="3">
        <f t="shared" si="17"/>
        <v>5835</v>
      </c>
      <c r="AR24" s="1">
        <v>3</v>
      </c>
      <c r="AS24" s="3">
        <v>960</v>
      </c>
      <c r="AT24" s="3">
        <f t="shared" si="18"/>
        <v>2880</v>
      </c>
      <c r="AU24" s="1">
        <v>10</v>
      </c>
      <c r="AV24" s="1">
        <v>1650</v>
      </c>
      <c r="AW24" s="3">
        <f t="shared" si="19"/>
        <v>11670</v>
      </c>
    </row>
    <row r="25" spans="1:49" ht="17.100000000000001" customHeight="1" x14ac:dyDescent="0.2">
      <c r="A25" s="9" t="s">
        <v>28</v>
      </c>
      <c r="B25" s="8"/>
      <c r="C25" s="9" t="s">
        <v>3</v>
      </c>
      <c r="D25" s="46">
        <v>5</v>
      </c>
      <c r="E25" s="21" t="s">
        <v>43</v>
      </c>
      <c r="F25" s="23">
        <v>50</v>
      </c>
      <c r="G25" s="23">
        <v>100</v>
      </c>
      <c r="H25" s="27">
        <v>150</v>
      </c>
      <c r="I25" s="27">
        <v>300</v>
      </c>
      <c r="J25" s="26"/>
      <c r="K25" s="9"/>
      <c r="L25" s="9"/>
      <c r="M25" s="25">
        <v>50</v>
      </c>
      <c r="N25" s="9"/>
      <c r="O25" s="9"/>
      <c r="P25" s="23">
        <v>100</v>
      </c>
      <c r="Q25" s="5"/>
      <c r="R25" s="9"/>
      <c r="S25" s="9"/>
      <c r="T25" s="27">
        <v>150</v>
      </c>
      <c r="U25" s="9"/>
      <c r="V25" s="9"/>
      <c r="W25" s="27">
        <v>300</v>
      </c>
      <c r="Y25" s="1">
        <v>4</v>
      </c>
      <c r="Z25" s="3">
        <v>160</v>
      </c>
      <c r="AA25" s="3">
        <f t="shared" si="12"/>
        <v>640</v>
      </c>
      <c r="AB25" s="1">
        <v>11</v>
      </c>
      <c r="AC25" s="1">
        <v>275</v>
      </c>
      <c r="AD25" s="3">
        <f t="shared" si="13"/>
        <v>2220</v>
      </c>
      <c r="AE25" s="1">
        <v>4</v>
      </c>
      <c r="AF25" s="3">
        <v>320</v>
      </c>
      <c r="AG25" s="3">
        <f t="shared" si="14"/>
        <v>1280</v>
      </c>
      <c r="AH25" s="1">
        <v>11</v>
      </c>
      <c r="AI25" s="1">
        <v>550</v>
      </c>
      <c r="AJ25" s="3">
        <f t="shared" si="15"/>
        <v>4440</v>
      </c>
      <c r="AL25" s="1">
        <v>4</v>
      </c>
      <c r="AM25" s="3">
        <v>480</v>
      </c>
      <c r="AN25" s="3">
        <f t="shared" si="16"/>
        <v>1920</v>
      </c>
      <c r="AO25" s="1">
        <v>11</v>
      </c>
      <c r="AP25" s="1">
        <v>825</v>
      </c>
      <c r="AQ25" s="3">
        <f t="shared" si="17"/>
        <v>6660</v>
      </c>
      <c r="AR25" s="1">
        <v>4</v>
      </c>
      <c r="AS25" s="3">
        <v>960</v>
      </c>
      <c r="AT25" s="3">
        <f t="shared" si="18"/>
        <v>3840</v>
      </c>
      <c r="AU25" s="1">
        <v>11</v>
      </c>
      <c r="AV25" s="1">
        <v>1650</v>
      </c>
      <c r="AW25" s="3">
        <f t="shared" si="19"/>
        <v>13320</v>
      </c>
    </row>
    <row r="26" spans="1:49" ht="17.100000000000001" customHeight="1" x14ac:dyDescent="0.2">
      <c r="Y26" s="1">
        <v>5</v>
      </c>
      <c r="Z26" s="3">
        <v>160</v>
      </c>
      <c r="AA26" s="3">
        <f t="shared" si="12"/>
        <v>800</v>
      </c>
      <c r="AB26" s="1">
        <v>12</v>
      </c>
      <c r="AC26" s="1">
        <v>275</v>
      </c>
      <c r="AD26" s="3">
        <f t="shared" si="13"/>
        <v>2495</v>
      </c>
      <c r="AE26" s="1">
        <v>5</v>
      </c>
      <c r="AF26" s="3">
        <v>320</v>
      </c>
      <c r="AG26" s="3">
        <f t="shared" si="14"/>
        <v>1600</v>
      </c>
      <c r="AH26" s="1">
        <v>12</v>
      </c>
      <c r="AI26" s="1">
        <v>550</v>
      </c>
      <c r="AJ26" s="3">
        <f t="shared" si="15"/>
        <v>4990</v>
      </c>
      <c r="AL26" s="1">
        <v>5</v>
      </c>
      <c r="AM26" s="3">
        <v>480</v>
      </c>
      <c r="AN26" s="3">
        <f t="shared" si="16"/>
        <v>2400</v>
      </c>
      <c r="AO26" s="1">
        <v>12</v>
      </c>
      <c r="AP26" s="1">
        <v>825</v>
      </c>
      <c r="AQ26" s="3">
        <f t="shared" si="17"/>
        <v>7485</v>
      </c>
      <c r="AR26" s="1">
        <v>5</v>
      </c>
      <c r="AS26" s="3">
        <v>960</v>
      </c>
      <c r="AT26" s="3">
        <f t="shared" si="18"/>
        <v>4800</v>
      </c>
      <c r="AU26" s="1">
        <v>12</v>
      </c>
      <c r="AV26" s="1">
        <v>1650</v>
      </c>
      <c r="AW26" s="3">
        <f t="shared" si="19"/>
        <v>14970</v>
      </c>
    </row>
    <row r="27" spans="1:49" ht="17.100000000000001" customHeight="1" x14ac:dyDescent="0.2">
      <c r="Y27" s="1">
        <v>6</v>
      </c>
      <c r="Z27" s="3">
        <v>160</v>
      </c>
      <c r="AA27" s="3">
        <f t="shared" si="12"/>
        <v>960</v>
      </c>
      <c r="AB27" s="1">
        <v>13</v>
      </c>
      <c r="AC27" s="1">
        <v>275</v>
      </c>
      <c r="AD27" s="3">
        <f t="shared" si="13"/>
        <v>2770</v>
      </c>
      <c r="AE27" s="1">
        <v>6</v>
      </c>
      <c r="AF27" s="3">
        <v>320</v>
      </c>
      <c r="AG27" s="3">
        <f t="shared" si="14"/>
        <v>1920</v>
      </c>
      <c r="AH27" s="1">
        <v>13</v>
      </c>
      <c r="AI27" s="1">
        <v>550</v>
      </c>
      <c r="AJ27" s="3">
        <f t="shared" si="15"/>
        <v>5540</v>
      </c>
      <c r="AL27" s="1">
        <v>6</v>
      </c>
      <c r="AM27" s="3">
        <v>480</v>
      </c>
      <c r="AN27" s="3">
        <f t="shared" si="16"/>
        <v>2880</v>
      </c>
      <c r="AO27" s="1">
        <v>13</v>
      </c>
      <c r="AP27" s="1">
        <v>825</v>
      </c>
      <c r="AQ27" s="3">
        <f t="shared" si="17"/>
        <v>8310</v>
      </c>
      <c r="AR27" s="1">
        <v>6</v>
      </c>
      <c r="AS27" s="3">
        <v>960</v>
      </c>
      <c r="AT27" s="3">
        <f t="shared" si="18"/>
        <v>5760</v>
      </c>
      <c r="AU27" s="1">
        <v>13</v>
      </c>
      <c r="AV27" s="1">
        <v>1650</v>
      </c>
      <c r="AW27" s="3">
        <f t="shared" si="19"/>
        <v>16620</v>
      </c>
    </row>
    <row r="28" spans="1:49" ht="17.100000000000001" customHeight="1" x14ac:dyDescent="0.25">
      <c r="Y28" s="1">
        <v>7</v>
      </c>
      <c r="Z28" s="3">
        <v>160</v>
      </c>
      <c r="AA28" s="34">
        <f t="shared" si="12"/>
        <v>1120</v>
      </c>
      <c r="AB28" s="1">
        <v>14</v>
      </c>
      <c r="AC28" s="1">
        <v>390</v>
      </c>
      <c r="AD28" s="34">
        <f t="shared" si="13"/>
        <v>3160</v>
      </c>
      <c r="AE28" s="2">
        <v>7</v>
      </c>
      <c r="AF28" s="3">
        <v>320</v>
      </c>
      <c r="AG28" s="34">
        <f t="shared" si="14"/>
        <v>2240</v>
      </c>
      <c r="AH28" s="1">
        <v>14</v>
      </c>
      <c r="AI28" s="1">
        <v>780</v>
      </c>
      <c r="AJ28" s="34">
        <f t="shared" si="15"/>
        <v>6320</v>
      </c>
      <c r="AL28" s="1">
        <v>7</v>
      </c>
      <c r="AM28" s="3">
        <v>480</v>
      </c>
      <c r="AN28" s="35">
        <f t="shared" si="16"/>
        <v>3360</v>
      </c>
      <c r="AO28" s="1">
        <v>14</v>
      </c>
      <c r="AP28" s="1">
        <v>1170</v>
      </c>
      <c r="AQ28" s="35">
        <f t="shared" si="17"/>
        <v>9480</v>
      </c>
      <c r="AR28" s="1">
        <v>7</v>
      </c>
      <c r="AS28" s="3">
        <v>960</v>
      </c>
      <c r="AT28" s="35">
        <f t="shared" si="18"/>
        <v>6720</v>
      </c>
      <c r="AU28" s="1">
        <v>14</v>
      </c>
      <c r="AV28" s="1">
        <v>2340</v>
      </c>
      <c r="AW28" s="35">
        <f t="shared" si="19"/>
        <v>18960</v>
      </c>
    </row>
    <row r="29" spans="1:49" ht="17.100000000000001" customHeight="1" x14ac:dyDescent="0.25">
      <c r="Y29" s="1"/>
      <c r="Z29" s="3"/>
      <c r="AA29" s="33"/>
      <c r="AB29" s="1"/>
      <c r="AC29" s="1"/>
      <c r="AD29" s="33"/>
      <c r="AE29" s="2"/>
      <c r="AF29" s="3"/>
      <c r="AG29" s="33"/>
      <c r="AH29" s="1"/>
      <c r="AI29" s="1"/>
      <c r="AJ29" s="33"/>
      <c r="AL29" s="1"/>
      <c r="AM29" s="3"/>
      <c r="AN29" s="33"/>
      <c r="AO29" s="1"/>
      <c r="AP29" s="1"/>
      <c r="AQ29" s="33"/>
      <c r="AR29" s="1"/>
      <c r="AS29" s="3"/>
      <c r="AT29" s="33"/>
      <c r="AU29" s="1"/>
      <c r="AV29" s="1"/>
      <c r="AW29" s="33"/>
    </row>
    <row r="30" spans="1:49" ht="17.100000000000001" customHeight="1" x14ac:dyDescent="0.25">
      <c r="A30" s="11" t="s">
        <v>62</v>
      </c>
      <c r="B30" s="13" t="s">
        <v>60</v>
      </c>
      <c r="J30" s="40" t="s">
        <v>13</v>
      </c>
      <c r="K30" s="15" t="s">
        <v>6</v>
      </c>
      <c r="L30" s="16"/>
      <c r="M30" s="16"/>
      <c r="N30" s="16"/>
      <c r="O30" s="19"/>
      <c r="P30" s="19"/>
      <c r="Q30" s="13"/>
      <c r="R30" s="15" t="s">
        <v>1</v>
      </c>
      <c r="S30" s="16"/>
      <c r="T30" s="16"/>
      <c r="U30" s="16"/>
      <c r="V30" s="19"/>
      <c r="W30" s="19"/>
      <c r="Y30" s="11" t="s">
        <v>6</v>
      </c>
      <c r="Z30" s="11" t="s">
        <v>7</v>
      </c>
      <c r="AA30" s="11"/>
      <c r="AB30" s="11"/>
      <c r="AC30" s="11"/>
      <c r="AD30" s="11"/>
      <c r="AE30" s="11" t="s">
        <v>6</v>
      </c>
      <c r="AF30" s="11" t="s">
        <v>8</v>
      </c>
      <c r="AG30" s="11"/>
      <c r="AH30" s="11"/>
      <c r="AI30" s="11"/>
      <c r="AJ30" s="11"/>
      <c r="AL30" s="6" t="s">
        <v>1</v>
      </c>
      <c r="AM30" s="6" t="s">
        <v>7</v>
      </c>
      <c r="AN30" s="37"/>
      <c r="AO30" s="37"/>
      <c r="AP30" s="37"/>
      <c r="AQ30" s="37"/>
      <c r="AR30" s="6" t="s">
        <v>1</v>
      </c>
      <c r="AS30" s="6" t="s">
        <v>8</v>
      </c>
      <c r="AT30" s="33"/>
      <c r="AU30" s="32"/>
      <c r="AV30" s="33"/>
      <c r="AW30" s="33"/>
    </row>
    <row r="31" spans="1:49" ht="17.100000000000001" customHeight="1" x14ac:dyDescent="0.25">
      <c r="B31" s="13" t="s">
        <v>61</v>
      </c>
      <c r="K31" s="5" t="s">
        <v>5</v>
      </c>
      <c r="L31" s="5" t="s">
        <v>9</v>
      </c>
      <c r="M31" s="5" t="s">
        <v>7</v>
      </c>
      <c r="N31" s="5" t="s">
        <v>5</v>
      </c>
      <c r="O31" s="5" t="s">
        <v>10</v>
      </c>
      <c r="P31" s="5" t="s">
        <v>8</v>
      </c>
      <c r="Q31" s="5"/>
      <c r="R31" s="5" t="s">
        <v>5</v>
      </c>
      <c r="S31" s="5" t="s">
        <v>9</v>
      </c>
      <c r="T31" s="5" t="s">
        <v>7</v>
      </c>
      <c r="U31" s="5" t="s">
        <v>5</v>
      </c>
      <c r="V31" s="5" t="s">
        <v>10</v>
      </c>
      <c r="W31" s="5" t="s">
        <v>8</v>
      </c>
      <c r="Y31" s="36">
        <v>0</v>
      </c>
      <c r="Z31" s="32">
        <v>0</v>
      </c>
      <c r="AA31" s="32">
        <f>Z31</f>
        <v>0</v>
      </c>
      <c r="AB31" s="32">
        <v>5</v>
      </c>
      <c r="AC31" s="33">
        <v>600</v>
      </c>
      <c r="AD31" s="33">
        <f>AA35+AC31</f>
        <v>1800</v>
      </c>
      <c r="AE31" s="36">
        <v>0</v>
      </c>
      <c r="AF31" s="32">
        <v>0</v>
      </c>
      <c r="AG31" s="32">
        <f>AF31</f>
        <v>0</v>
      </c>
      <c r="AH31" s="32">
        <v>5</v>
      </c>
      <c r="AI31" s="33">
        <v>1200</v>
      </c>
      <c r="AJ31" s="33">
        <f>AG35+AI31</f>
        <v>3600</v>
      </c>
      <c r="AL31" s="36">
        <v>0</v>
      </c>
      <c r="AM31" s="32">
        <v>0</v>
      </c>
      <c r="AN31" s="32">
        <f>AM31</f>
        <v>0</v>
      </c>
      <c r="AO31" s="32">
        <v>5</v>
      </c>
      <c r="AP31" s="33">
        <v>1800</v>
      </c>
      <c r="AQ31" s="33">
        <f>AN35+AP31</f>
        <v>5400</v>
      </c>
      <c r="AR31" s="36">
        <v>0</v>
      </c>
      <c r="AS31" s="32">
        <v>0</v>
      </c>
      <c r="AT31" s="32">
        <f>AS31</f>
        <v>0</v>
      </c>
      <c r="AU31" s="32">
        <v>5</v>
      </c>
      <c r="AV31" s="33">
        <v>3600</v>
      </c>
      <c r="AW31" s="33">
        <f>AT35+AV31</f>
        <v>10800</v>
      </c>
    </row>
    <row r="32" spans="1:49" s="39" customFormat="1" ht="17.100000000000001" customHeight="1" x14ac:dyDescent="0.25">
      <c r="A32" s="4"/>
      <c r="C32" s="38"/>
      <c r="D32" s="38"/>
      <c r="E32" s="38"/>
      <c r="F32" s="38"/>
      <c r="G32" s="38"/>
      <c r="H32" s="38"/>
      <c r="I32" s="38"/>
      <c r="J32" s="38"/>
      <c r="K32" s="5">
        <v>0</v>
      </c>
      <c r="L32" s="5">
        <v>0</v>
      </c>
      <c r="M32" s="42">
        <v>375</v>
      </c>
      <c r="N32" s="5">
        <v>0</v>
      </c>
      <c r="O32" s="5">
        <v>0</v>
      </c>
      <c r="P32" s="44">
        <v>750</v>
      </c>
      <c r="Q32" s="5"/>
      <c r="R32" s="5">
        <v>0</v>
      </c>
      <c r="S32" s="5">
        <v>0</v>
      </c>
      <c r="T32" s="26">
        <v>900</v>
      </c>
      <c r="U32" s="5">
        <v>0</v>
      </c>
      <c r="V32" s="5">
        <v>0</v>
      </c>
      <c r="W32" s="26">
        <v>1800</v>
      </c>
      <c r="X32" s="38"/>
      <c r="Y32" s="36">
        <v>1</v>
      </c>
      <c r="Z32" s="33">
        <v>300</v>
      </c>
      <c r="AA32" s="33">
        <f>Z31+Z32</f>
        <v>300</v>
      </c>
      <c r="AB32" s="32">
        <v>6</v>
      </c>
      <c r="AC32" s="33">
        <v>600</v>
      </c>
      <c r="AD32" s="33">
        <f>AD31+AC32</f>
        <v>2400</v>
      </c>
      <c r="AE32" s="36">
        <v>1</v>
      </c>
      <c r="AF32" s="33">
        <v>600</v>
      </c>
      <c r="AG32" s="33">
        <f>AF31+AF32</f>
        <v>600</v>
      </c>
      <c r="AH32" s="32">
        <v>6</v>
      </c>
      <c r="AI32" s="33">
        <v>1200</v>
      </c>
      <c r="AJ32" s="33">
        <f>AJ31+AI32</f>
        <v>4800</v>
      </c>
      <c r="AK32" s="5"/>
      <c r="AL32" s="36">
        <v>1</v>
      </c>
      <c r="AM32" s="33">
        <v>900</v>
      </c>
      <c r="AN32" s="33">
        <f>AM31+AM32</f>
        <v>900</v>
      </c>
      <c r="AO32" s="32">
        <v>6</v>
      </c>
      <c r="AP32" s="33">
        <v>1800</v>
      </c>
      <c r="AQ32" s="33">
        <f>AQ31+AP32</f>
        <v>7200</v>
      </c>
      <c r="AR32" s="36">
        <v>1</v>
      </c>
      <c r="AS32" s="33">
        <v>1800</v>
      </c>
      <c r="AT32" s="33">
        <f>AS31+AS32</f>
        <v>1800</v>
      </c>
      <c r="AU32" s="32">
        <v>6</v>
      </c>
      <c r="AV32" s="33">
        <v>3600</v>
      </c>
      <c r="AW32" s="33">
        <f>AW31+AV32</f>
        <v>14400</v>
      </c>
    </row>
    <row r="33" spans="1:49" s="39" customFormat="1" ht="17.100000000000001" customHeight="1" x14ac:dyDescent="0.25">
      <c r="A33" s="4"/>
      <c r="C33" s="38"/>
      <c r="D33" s="38"/>
      <c r="E33" s="38"/>
      <c r="F33" s="38"/>
      <c r="G33" s="38"/>
      <c r="H33" s="38"/>
      <c r="I33" s="38"/>
      <c r="J33" s="38"/>
      <c r="K33" s="5">
        <v>5</v>
      </c>
      <c r="L33" s="28">
        <v>1200</v>
      </c>
      <c r="M33" s="42">
        <v>750</v>
      </c>
      <c r="N33" s="5">
        <v>7</v>
      </c>
      <c r="O33" s="28">
        <v>2400</v>
      </c>
      <c r="P33" s="44">
        <v>1500</v>
      </c>
      <c r="Q33" s="5"/>
      <c r="R33" s="5">
        <v>5</v>
      </c>
      <c r="S33" s="30">
        <v>3360</v>
      </c>
      <c r="T33" s="26">
        <v>1800</v>
      </c>
      <c r="U33" s="5">
        <v>9</v>
      </c>
      <c r="V33" s="30">
        <v>6720</v>
      </c>
      <c r="W33" s="26">
        <v>3600</v>
      </c>
      <c r="X33" s="38"/>
      <c r="Y33" s="36">
        <v>2</v>
      </c>
      <c r="Z33" s="33">
        <v>300</v>
      </c>
      <c r="AA33" s="33">
        <f>AA32+Z33</f>
        <v>600</v>
      </c>
      <c r="AB33" s="32">
        <v>7</v>
      </c>
      <c r="AC33" s="33">
        <v>600</v>
      </c>
      <c r="AD33" s="33">
        <f>AD32+AC33</f>
        <v>3000</v>
      </c>
      <c r="AE33" s="36">
        <v>2</v>
      </c>
      <c r="AF33" s="33">
        <v>600</v>
      </c>
      <c r="AG33" s="33">
        <f>AG32+AF33</f>
        <v>1200</v>
      </c>
      <c r="AH33" s="32">
        <v>7</v>
      </c>
      <c r="AI33" s="33">
        <v>1200</v>
      </c>
      <c r="AJ33" s="33">
        <f>AJ32+AI33</f>
        <v>6000</v>
      </c>
      <c r="AK33" s="5"/>
      <c r="AL33" s="36">
        <v>2</v>
      </c>
      <c r="AM33" s="33">
        <v>900</v>
      </c>
      <c r="AN33" s="33">
        <f>AN32+AM33</f>
        <v>1800</v>
      </c>
      <c r="AO33" s="32">
        <v>7</v>
      </c>
      <c r="AP33" s="33">
        <v>1800</v>
      </c>
      <c r="AQ33" s="33">
        <f>AQ32+AP33</f>
        <v>9000</v>
      </c>
      <c r="AR33" s="36">
        <v>2</v>
      </c>
      <c r="AS33" s="33">
        <v>1800</v>
      </c>
      <c r="AT33" s="33">
        <f>AT32+AS33</f>
        <v>3600</v>
      </c>
      <c r="AU33" s="32">
        <v>7</v>
      </c>
      <c r="AV33" s="33">
        <v>3600</v>
      </c>
      <c r="AW33" s="33">
        <f>AW32+AV33</f>
        <v>18000</v>
      </c>
    </row>
    <row r="34" spans="1:49" s="39" customFormat="1" ht="17.100000000000001" customHeight="1" x14ac:dyDescent="0.25">
      <c r="A34" s="4"/>
      <c r="C34" s="38"/>
      <c r="D34" s="38"/>
      <c r="E34" s="38"/>
      <c r="F34" s="38"/>
      <c r="G34" s="38"/>
      <c r="H34" s="38"/>
      <c r="I34" s="38"/>
      <c r="J34" s="38"/>
      <c r="K34" s="9">
        <v>9</v>
      </c>
      <c r="L34" s="29">
        <v>4800</v>
      </c>
      <c r="M34" s="43">
        <v>1500</v>
      </c>
      <c r="N34" s="9">
        <v>14</v>
      </c>
      <c r="O34" s="29">
        <v>9600</v>
      </c>
      <c r="P34" s="45">
        <v>3000</v>
      </c>
      <c r="Q34" s="5"/>
      <c r="R34" s="9">
        <v>9</v>
      </c>
      <c r="S34" s="31">
        <v>9135</v>
      </c>
      <c r="T34" s="27">
        <v>3600</v>
      </c>
      <c r="U34" s="9">
        <v>9</v>
      </c>
      <c r="V34" s="31">
        <v>18270</v>
      </c>
      <c r="W34" s="27">
        <v>7200</v>
      </c>
      <c r="X34" s="38"/>
      <c r="Y34" s="36">
        <v>3</v>
      </c>
      <c r="Z34" s="33">
        <v>300</v>
      </c>
      <c r="AA34" s="33">
        <f>AA33+Z34</f>
        <v>900</v>
      </c>
      <c r="AB34" s="32">
        <v>8</v>
      </c>
      <c r="AC34" s="33">
        <v>600</v>
      </c>
      <c r="AD34" s="33">
        <f>AD33+AC34</f>
        <v>3600</v>
      </c>
      <c r="AE34" s="36">
        <v>3</v>
      </c>
      <c r="AF34" s="33">
        <v>600</v>
      </c>
      <c r="AG34" s="33">
        <f>AG33+AF34</f>
        <v>1800</v>
      </c>
      <c r="AH34" s="32">
        <v>8</v>
      </c>
      <c r="AI34" s="33">
        <v>1200</v>
      </c>
      <c r="AJ34" s="33">
        <f>AJ33+AI34</f>
        <v>7200</v>
      </c>
      <c r="AK34" s="5"/>
      <c r="AL34" s="36">
        <v>3</v>
      </c>
      <c r="AM34" s="33">
        <v>900</v>
      </c>
      <c r="AN34" s="33">
        <f>AN33+AM34</f>
        <v>2700</v>
      </c>
      <c r="AO34" s="32">
        <v>8</v>
      </c>
      <c r="AP34" s="33">
        <v>1800</v>
      </c>
      <c r="AQ34" s="33">
        <f>AQ33+AP34</f>
        <v>10800</v>
      </c>
      <c r="AR34" s="36">
        <v>3</v>
      </c>
      <c r="AS34" s="33">
        <v>1800</v>
      </c>
      <c r="AT34" s="33">
        <f>AT33+AS34</f>
        <v>5400</v>
      </c>
      <c r="AU34" s="32">
        <v>8</v>
      </c>
      <c r="AV34" s="33">
        <v>3600</v>
      </c>
      <c r="AW34" s="33">
        <f>AW33+AV34</f>
        <v>21600</v>
      </c>
    </row>
    <row r="35" spans="1:49" s="39" customFormat="1" ht="17.100000000000001" customHeight="1" x14ac:dyDescent="0.25">
      <c r="A35" s="4"/>
      <c r="C35" s="38"/>
      <c r="D35" s="38"/>
      <c r="E35" s="38"/>
      <c r="F35" s="38"/>
      <c r="G35" s="38"/>
      <c r="H35" s="38"/>
      <c r="I35" s="38"/>
      <c r="J35" s="38"/>
      <c r="X35" s="38"/>
      <c r="Y35" s="36">
        <v>4</v>
      </c>
      <c r="Z35" s="32">
        <v>300</v>
      </c>
      <c r="AA35" s="34">
        <f>AA34+Z35</f>
        <v>1200</v>
      </c>
      <c r="AB35" s="32">
        <v>9</v>
      </c>
      <c r="AC35" s="33">
        <v>1200</v>
      </c>
      <c r="AD35" s="34">
        <f>AD34+AC35</f>
        <v>4800</v>
      </c>
      <c r="AE35" s="36">
        <v>4</v>
      </c>
      <c r="AF35" s="32">
        <v>600</v>
      </c>
      <c r="AG35" s="34">
        <f>AG34+AF35</f>
        <v>2400</v>
      </c>
      <c r="AH35" s="32">
        <v>9</v>
      </c>
      <c r="AI35" s="33">
        <v>2400</v>
      </c>
      <c r="AJ35" s="34">
        <f>AJ34+AI35</f>
        <v>9600</v>
      </c>
      <c r="AK35" s="5"/>
      <c r="AL35" s="36">
        <v>4</v>
      </c>
      <c r="AM35" s="32">
        <v>900</v>
      </c>
      <c r="AN35" s="34">
        <f>AN34+AM35</f>
        <v>3600</v>
      </c>
      <c r="AO35" s="32">
        <v>9</v>
      </c>
      <c r="AP35" s="33">
        <v>3600</v>
      </c>
      <c r="AQ35" s="34">
        <f>AQ34+AP35</f>
        <v>14400</v>
      </c>
      <c r="AR35" s="36">
        <v>4</v>
      </c>
      <c r="AS35" s="32">
        <v>1800</v>
      </c>
      <c r="AT35" s="34">
        <f>AT34+AS35</f>
        <v>7200</v>
      </c>
      <c r="AU35" s="32">
        <v>9</v>
      </c>
      <c r="AV35" s="33">
        <v>7200</v>
      </c>
      <c r="AW35" s="34">
        <f>AW34+AV35</f>
        <v>28800</v>
      </c>
    </row>
    <row r="36" spans="1:49" s="39" customFormat="1" ht="17.100000000000001" hidden="1" customHeight="1" x14ac:dyDescent="0.25">
      <c r="A36" s="39" t="s">
        <v>0</v>
      </c>
      <c r="B36" s="39" t="s">
        <v>6</v>
      </c>
      <c r="C36" s="39" t="s">
        <v>46</v>
      </c>
      <c r="D36" s="38"/>
      <c r="E36" s="38"/>
      <c r="F36" s="38"/>
      <c r="G36" s="38"/>
      <c r="H36" s="38"/>
      <c r="I36" s="38"/>
      <c r="J36" s="38"/>
      <c r="X36" s="38"/>
      <c r="Y36" s="36"/>
      <c r="Z36" s="32"/>
      <c r="AA36" s="32"/>
      <c r="AB36" s="32"/>
      <c r="AC36" s="33"/>
      <c r="AD36" s="33"/>
      <c r="AE36" s="36"/>
      <c r="AF36" s="32"/>
      <c r="AG36" s="32"/>
      <c r="AH36" s="32"/>
      <c r="AI36" s="33"/>
      <c r="AJ36" s="33"/>
      <c r="AK36" s="5"/>
      <c r="AL36" s="36"/>
      <c r="AM36" s="32"/>
      <c r="AN36" s="32"/>
      <c r="AO36" s="32"/>
      <c r="AP36" s="33"/>
      <c r="AQ36" s="33"/>
      <c r="AR36" s="36"/>
      <c r="AS36" s="32"/>
      <c r="AT36" s="32"/>
      <c r="AU36" s="32"/>
      <c r="AV36" s="33"/>
      <c r="AW36" s="33"/>
    </row>
    <row r="37" spans="1:49" s="39" customFormat="1" ht="17.100000000000001" hidden="1" customHeight="1" x14ac:dyDescent="0.25">
      <c r="B37" s="39" t="s">
        <v>1</v>
      </c>
      <c r="C37" s="39" t="s">
        <v>47</v>
      </c>
      <c r="D37" s="38"/>
      <c r="E37" s="38"/>
      <c r="F37" s="38"/>
      <c r="G37" s="38"/>
      <c r="H37" s="38"/>
      <c r="I37" s="38"/>
      <c r="J37" s="38"/>
      <c r="X37" s="38"/>
      <c r="Y37" s="36"/>
      <c r="Z37" s="32"/>
      <c r="AA37" s="32"/>
      <c r="AB37" s="32"/>
      <c r="AC37" s="33"/>
      <c r="AD37" s="33"/>
      <c r="AE37" s="36"/>
      <c r="AF37" s="32"/>
      <c r="AG37" s="32"/>
      <c r="AH37" s="32"/>
      <c r="AI37" s="33"/>
      <c r="AJ37" s="33"/>
      <c r="AK37" s="5"/>
      <c r="AL37" s="36"/>
      <c r="AM37" s="32"/>
      <c r="AN37" s="32"/>
      <c r="AO37" s="32"/>
      <c r="AP37" s="33"/>
      <c r="AQ37" s="33"/>
      <c r="AR37" s="36"/>
      <c r="AS37" s="32"/>
      <c r="AT37" s="32"/>
      <c r="AU37" s="32"/>
      <c r="AV37" s="33"/>
      <c r="AW37" s="33"/>
    </row>
    <row r="38" spans="1:49" s="39" customFormat="1" ht="17.100000000000001" hidden="1" customHeight="1" x14ac:dyDescent="0.25">
      <c r="A38" s="39" t="s">
        <v>50</v>
      </c>
      <c r="B38" s="39" t="s">
        <v>6</v>
      </c>
      <c r="C38" s="39" t="s">
        <v>48</v>
      </c>
      <c r="D38" s="38"/>
      <c r="E38" s="38"/>
      <c r="F38" s="38"/>
      <c r="G38" s="38"/>
      <c r="H38" s="38"/>
      <c r="I38" s="38"/>
      <c r="J38" s="38"/>
      <c r="X38" s="38"/>
    </row>
    <row r="39" spans="1:49" s="39" customFormat="1" ht="17.100000000000001" hidden="1" customHeight="1" x14ac:dyDescent="0.25">
      <c r="B39" s="39" t="s">
        <v>1</v>
      </c>
      <c r="C39" s="39" t="s">
        <v>49</v>
      </c>
      <c r="D39" s="38"/>
      <c r="E39" s="38"/>
      <c r="F39" s="38"/>
      <c r="G39" s="38"/>
      <c r="H39" s="38"/>
      <c r="I39" s="38"/>
      <c r="J39" s="38"/>
      <c r="X39" s="38"/>
      <c r="Y39" s="38"/>
      <c r="Z39" s="38"/>
      <c r="AA39" s="38"/>
      <c r="AB39" s="38"/>
      <c r="AC39" s="38"/>
      <c r="AD39" s="38"/>
      <c r="AE39" s="38"/>
      <c r="AK39" s="38"/>
      <c r="AQ39" s="38"/>
    </row>
    <row r="40" spans="1:49" s="39" customFormat="1" ht="17.100000000000001" hidden="1" customHeight="1" x14ac:dyDescent="0.25">
      <c r="A40" s="39" t="s">
        <v>3</v>
      </c>
      <c r="B40" s="39" t="s">
        <v>6</v>
      </c>
      <c r="C40" s="39" t="s">
        <v>51</v>
      </c>
      <c r="D40" s="38"/>
      <c r="E40" s="38"/>
      <c r="F40" s="38"/>
      <c r="G40" s="38"/>
      <c r="H40" s="38"/>
      <c r="I40" s="38"/>
      <c r="J40" s="38"/>
      <c r="X40" s="38"/>
      <c r="Y40" s="38"/>
      <c r="Z40" s="38"/>
      <c r="AA40" s="38"/>
      <c r="AB40" s="38"/>
      <c r="AC40" s="38"/>
      <c r="AD40" s="38"/>
      <c r="AE40" s="38"/>
      <c r="AK40" s="38"/>
      <c r="AQ40" s="38"/>
    </row>
    <row r="41" spans="1:49" s="39" customFormat="1" ht="17.100000000000001" hidden="1" customHeight="1" x14ac:dyDescent="0.25">
      <c r="A41" s="38"/>
      <c r="B41" s="39" t="s">
        <v>1</v>
      </c>
      <c r="C41" s="39" t="s">
        <v>52</v>
      </c>
      <c r="D41" s="38"/>
      <c r="E41" s="38"/>
      <c r="F41" s="38"/>
      <c r="G41" s="38"/>
      <c r="H41" s="38"/>
      <c r="I41" s="38"/>
      <c r="J41" s="38"/>
      <c r="X41" s="38"/>
      <c r="Y41" s="38"/>
      <c r="Z41" s="38"/>
      <c r="AA41" s="38"/>
      <c r="AB41" s="38"/>
      <c r="AC41" s="38"/>
      <c r="AD41" s="38"/>
      <c r="AE41" s="38"/>
      <c r="AK41" s="38"/>
      <c r="AQ41" s="38"/>
    </row>
    <row r="42" spans="1:49" s="39" customFormat="1" ht="17.100000000000001" hidden="1" customHeight="1" x14ac:dyDescent="0.25">
      <c r="A42" s="39" t="s">
        <v>53</v>
      </c>
      <c r="B42" s="39" t="s">
        <v>6</v>
      </c>
      <c r="C42" s="39" t="s">
        <v>54</v>
      </c>
      <c r="D42" s="38"/>
      <c r="E42" s="38"/>
      <c r="F42" s="38"/>
      <c r="G42" s="38"/>
      <c r="H42" s="38"/>
      <c r="I42" s="38"/>
      <c r="J42" s="38"/>
      <c r="X42" s="38"/>
      <c r="Y42" s="38"/>
      <c r="Z42" s="38"/>
      <c r="AA42" s="38"/>
      <c r="AB42" s="38"/>
      <c r="AC42" s="38"/>
      <c r="AD42" s="38"/>
      <c r="AE42" s="38"/>
      <c r="AK42" s="38"/>
      <c r="AQ42" s="38"/>
    </row>
    <row r="43" spans="1:49" ht="17.100000000000001" hidden="1" customHeight="1" x14ac:dyDescent="0.25">
      <c r="B43" s="39" t="s">
        <v>1</v>
      </c>
      <c r="C43" s="39" t="s">
        <v>55</v>
      </c>
    </row>
    <row r="44" spans="1:49" ht="17.100000000000001" hidden="1" customHeight="1" x14ac:dyDescent="0.25"/>
    <row r="45" spans="1:49" ht="17.100000000000001" hidden="1" customHeight="1" x14ac:dyDescent="0.2">
      <c r="A45" s="2" t="s">
        <v>11</v>
      </c>
      <c r="B45" s="2" t="s">
        <v>5</v>
      </c>
      <c r="C45" s="2" t="s">
        <v>12</v>
      </c>
    </row>
    <row r="46" spans="1:49" ht="17.100000000000001" hidden="1" customHeight="1" x14ac:dyDescent="0.2">
      <c r="A46" s="2" t="s">
        <v>7</v>
      </c>
      <c r="B46" s="2">
        <v>0</v>
      </c>
      <c r="C46" s="38">
        <f t="shared" ref="C46:C77" si="20">IF(A46="20'",VLOOKUP(B46,$R$9:$T$12,2,TRUE)+(B46-VLOOKUP(B46,$R$9:$T$12,1,TRUE))*VLOOKUP(B46,$R$9:$T$12,3,TRUE),VLOOKUP(B46,$U$9:$W$12,2,TRUE)+(B46-VLOOKUP(B46,$U$9:$W$12,1,TRUE))*VLOOKUP(B46,$U$9:$W$12,3,TRUE))</f>
        <v>0</v>
      </c>
    </row>
    <row r="47" spans="1:49" ht="17.100000000000001" hidden="1" customHeight="1" x14ac:dyDescent="0.2">
      <c r="A47" s="2" t="s">
        <v>7</v>
      </c>
      <c r="B47" s="2">
        <v>1</v>
      </c>
      <c r="C47" s="38">
        <f t="shared" si="20"/>
        <v>375</v>
      </c>
    </row>
    <row r="48" spans="1:49" ht="17.100000000000001" hidden="1" customHeight="1" x14ac:dyDescent="0.2">
      <c r="A48" s="2" t="s">
        <v>7</v>
      </c>
      <c r="B48" s="2">
        <v>2</v>
      </c>
      <c r="C48" s="38">
        <f t="shared" si="20"/>
        <v>750</v>
      </c>
      <c r="G48" s="4"/>
    </row>
    <row r="49" spans="1:3" ht="17.100000000000001" hidden="1" customHeight="1" x14ac:dyDescent="0.2">
      <c r="A49" s="2" t="s">
        <v>7</v>
      </c>
      <c r="B49" s="2">
        <v>3</v>
      </c>
      <c r="C49" s="38">
        <f t="shared" si="20"/>
        <v>1125</v>
      </c>
    </row>
    <row r="50" spans="1:3" ht="17.100000000000001" hidden="1" customHeight="1" x14ac:dyDescent="0.2">
      <c r="A50" s="2" t="s">
        <v>7</v>
      </c>
      <c r="B50" s="2">
        <v>4</v>
      </c>
      <c r="C50" s="38">
        <f t="shared" si="20"/>
        <v>1500</v>
      </c>
    </row>
    <row r="51" spans="1:3" ht="17.100000000000001" hidden="1" customHeight="1" x14ac:dyDescent="0.2">
      <c r="A51" s="2" t="s">
        <v>7</v>
      </c>
      <c r="B51" s="2">
        <v>5</v>
      </c>
      <c r="C51" s="38">
        <f t="shared" si="20"/>
        <v>1875</v>
      </c>
    </row>
    <row r="52" spans="1:3" ht="17.100000000000001" hidden="1" customHeight="1" x14ac:dyDescent="0.2">
      <c r="A52" s="2" t="s">
        <v>7</v>
      </c>
      <c r="B52" s="2">
        <v>6</v>
      </c>
      <c r="C52" s="38">
        <f t="shared" si="20"/>
        <v>2250</v>
      </c>
    </row>
    <row r="53" spans="1:3" ht="17.100000000000001" hidden="1" customHeight="1" x14ac:dyDescent="0.2">
      <c r="A53" s="2" t="s">
        <v>7</v>
      </c>
      <c r="B53" s="2">
        <v>7</v>
      </c>
      <c r="C53" s="38">
        <f t="shared" si="20"/>
        <v>2625</v>
      </c>
    </row>
    <row r="54" spans="1:3" ht="17.100000000000001" hidden="1" customHeight="1" x14ac:dyDescent="0.2">
      <c r="A54" s="2" t="s">
        <v>7</v>
      </c>
      <c r="B54" s="2">
        <v>8</v>
      </c>
      <c r="C54" s="38">
        <f t="shared" si="20"/>
        <v>3375</v>
      </c>
    </row>
    <row r="55" spans="1:3" ht="17.100000000000001" hidden="1" customHeight="1" x14ac:dyDescent="0.2">
      <c r="A55" s="2" t="s">
        <v>7</v>
      </c>
      <c r="B55" s="2">
        <v>9</v>
      </c>
      <c r="C55" s="38">
        <f t="shared" si="20"/>
        <v>4125</v>
      </c>
    </row>
    <row r="56" spans="1:3" ht="17.100000000000001" hidden="1" customHeight="1" x14ac:dyDescent="0.2">
      <c r="A56" s="2" t="s">
        <v>7</v>
      </c>
      <c r="B56" s="2">
        <v>10</v>
      </c>
      <c r="C56" s="38">
        <f t="shared" si="20"/>
        <v>4875</v>
      </c>
    </row>
    <row r="57" spans="1:3" ht="17.100000000000001" hidden="1" customHeight="1" x14ac:dyDescent="0.2">
      <c r="A57" s="2" t="s">
        <v>7</v>
      </c>
      <c r="B57" s="2">
        <v>11</v>
      </c>
      <c r="C57" s="38">
        <f t="shared" si="20"/>
        <v>5625</v>
      </c>
    </row>
    <row r="58" spans="1:3" ht="17.100000000000001" hidden="1" customHeight="1" x14ac:dyDescent="0.2">
      <c r="A58" s="2" t="s">
        <v>7</v>
      </c>
      <c r="B58" s="2">
        <v>12</v>
      </c>
      <c r="C58" s="38">
        <f t="shared" si="20"/>
        <v>6375</v>
      </c>
    </row>
    <row r="59" spans="1:3" ht="17.100000000000001" hidden="1" customHeight="1" x14ac:dyDescent="0.2">
      <c r="A59" s="2" t="s">
        <v>7</v>
      </c>
      <c r="B59" s="2">
        <v>13</v>
      </c>
      <c r="C59" s="38">
        <f t="shared" si="20"/>
        <v>7125</v>
      </c>
    </row>
    <row r="60" spans="1:3" ht="17.100000000000001" hidden="1" customHeight="1" x14ac:dyDescent="0.2">
      <c r="A60" s="2" t="s">
        <v>7</v>
      </c>
      <c r="B60" s="2">
        <v>14</v>
      </c>
      <c r="C60" s="38">
        <f t="shared" si="20"/>
        <v>7875</v>
      </c>
    </row>
    <row r="61" spans="1:3" ht="17.100000000000001" hidden="1" customHeight="1" x14ac:dyDescent="0.2">
      <c r="A61" s="2" t="s">
        <v>7</v>
      </c>
      <c r="B61" s="2">
        <v>15</v>
      </c>
      <c r="C61" s="38">
        <f t="shared" si="20"/>
        <v>9075</v>
      </c>
    </row>
    <row r="62" spans="1:3" ht="17.100000000000001" hidden="1" customHeight="1" x14ac:dyDescent="0.2">
      <c r="A62" s="2" t="s">
        <v>8</v>
      </c>
      <c r="B62" s="2">
        <v>0</v>
      </c>
      <c r="C62" s="38">
        <f t="shared" si="20"/>
        <v>0</v>
      </c>
    </row>
    <row r="63" spans="1:3" ht="17.100000000000001" hidden="1" customHeight="1" x14ac:dyDescent="0.2">
      <c r="A63" s="2" t="s">
        <v>8</v>
      </c>
      <c r="B63" s="2">
        <v>1</v>
      </c>
      <c r="C63" s="38">
        <f t="shared" si="20"/>
        <v>750</v>
      </c>
    </row>
    <row r="64" spans="1:3" ht="17.100000000000001" hidden="1" customHeight="1" x14ac:dyDescent="0.2">
      <c r="A64" s="2" t="s">
        <v>8</v>
      </c>
      <c r="B64" s="2">
        <v>2</v>
      </c>
      <c r="C64" s="38">
        <f t="shared" si="20"/>
        <v>1500</v>
      </c>
    </row>
    <row r="65" spans="1:3" ht="17.100000000000001" hidden="1" customHeight="1" x14ac:dyDescent="0.2">
      <c r="A65" s="2" t="s">
        <v>8</v>
      </c>
      <c r="B65" s="2">
        <v>3</v>
      </c>
      <c r="C65" s="38">
        <f t="shared" si="20"/>
        <v>2250</v>
      </c>
    </row>
    <row r="66" spans="1:3" ht="17.100000000000001" hidden="1" customHeight="1" x14ac:dyDescent="0.2">
      <c r="A66" s="2" t="s">
        <v>8</v>
      </c>
      <c r="B66" s="2">
        <v>4</v>
      </c>
      <c r="C66" s="38">
        <f t="shared" si="20"/>
        <v>3000</v>
      </c>
    </row>
    <row r="67" spans="1:3" ht="17.100000000000001" hidden="1" customHeight="1" x14ac:dyDescent="0.2">
      <c r="A67" s="2" t="s">
        <v>8</v>
      </c>
      <c r="B67" s="2">
        <v>5</v>
      </c>
      <c r="C67" s="38">
        <f t="shared" si="20"/>
        <v>3750</v>
      </c>
    </row>
    <row r="68" spans="1:3" ht="17.100000000000001" hidden="1" customHeight="1" x14ac:dyDescent="0.2">
      <c r="A68" s="2" t="s">
        <v>8</v>
      </c>
      <c r="B68" s="2">
        <v>6</v>
      </c>
      <c r="C68" s="38">
        <f t="shared" si="20"/>
        <v>4500</v>
      </c>
    </row>
    <row r="69" spans="1:3" ht="17.100000000000001" hidden="1" customHeight="1" x14ac:dyDescent="0.2">
      <c r="A69" s="2" t="s">
        <v>8</v>
      </c>
      <c r="B69" s="2">
        <v>7</v>
      </c>
      <c r="C69" s="38">
        <f t="shared" si="20"/>
        <v>5250</v>
      </c>
    </row>
    <row r="70" spans="1:3" ht="17.100000000000001" hidden="1" customHeight="1" x14ac:dyDescent="0.2">
      <c r="A70" s="2" t="s">
        <v>8</v>
      </c>
      <c r="B70" s="2">
        <v>8</v>
      </c>
      <c r="C70" s="38">
        <f t="shared" si="20"/>
        <v>6750</v>
      </c>
    </row>
    <row r="71" spans="1:3" ht="17.100000000000001" hidden="1" customHeight="1" x14ac:dyDescent="0.2">
      <c r="A71" s="2" t="s">
        <v>8</v>
      </c>
      <c r="B71" s="2">
        <v>9</v>
      </c>
      <c r="C71" s="38">
        <f t="shared" si="20"/>
        <v>8250</v>
      </c>
    </row>
    <row r="72" spans="1:3" ht="17.100000000000001" hidden="1" customHeight="1" x14ac:dyDescent="0.2">
      <c r="A72" s="2" t="s">
        <v>8</v>
      </c>
      <c r="B72" s="2">
        <v>10</v>
      </c>
      <c r="C72" s="38">
        <f t="shared" si="20"/>
        <v>9750</v>
      </c>
    </row>
    <row r="73" spans="1:3" ht="17.100000000000001" hidden="1" customHeight="1" x14ac:dyDescent="0.2">
      <c r="A73" s="2" t="s">
        <v>8</v>
      </c>
      <c r="B73" s="2">
        <v>11</v>
      </c>
      <c r="C73" s="38">
        <f t="shared" si="20"/>
        <v>11250</v>
      </c>
    </row>
    <row r="74" spans="1:3" ht="17.100000000000001" hidden="1" customHeight="1" x14ac:dyDescent="0.2">
      <c r="A74" s="2" t="s">
        <v>8</v>
      </c>
      <c r="B74" s="2">
        <v>12</v>
      </c>
      <c r="C74" s="38">
        <f t="shared" si="20"/>
        <v>12750</v>
      </c>
    </row>
    <row r="75" spans="1:3" ht="17.100000000000001" hidden="1" customHeight="1" x14ac:dyDescent="0.2">
      <c r="A75" s="2" t="s">
        <v>8</v>
      </c>
      <c r="B75" s="2">
        <v>13</v>
      </c>
      <c r="C75" s="38">
        <f t="shared" si="20"/>
        <v>14250</v>
      </c>
    </row>
    <row r="76" spans="1:3" ht="17.100000000000001" hidden="1" customHeight="1" x14ac:dyDescent="0.2">
      <c r="A76" s="2" t="s">
        <v>8</v>
      </c>
      <c r="B76" s="2">
        <v>14</v>
      </c>
      <c r="C76" s="38">
        <f t="shared" si="20"/>
        <v>15750</v>
      </c>
    </row>
    <row r="77" spans="1:3" ht="17.100000000000001" hidden="1" customHeight="1" x14ac:dyDescent="0.2">
      <c r="A77" s="2" t="s">
        <v>8</v>
      </c>
      <c r="B77" s="2">
        <v>15</v>
      </c>
      <c r="C77" s="38">
        <f t="shared" si="20"/>
        <v>18150</v>
      </c>
    </row>
  </sheetData>
  <mergeCells count="12">
    <mergeCell ref="A1:E1"/>
    <mergeCell ref="F1:G1"/>
    <mergeCell ref="H1:I1"/>
    <mergeCell ref="A7:E7"/>
    <mergeCell ref="F7:G7"/>
    <mergeCell ref="H7:I7"/>
    <mergeCell ref="A17:E17"/>
    <mergeCell ref="F17:G17"/>
    <mergeCell ref="H17:I17"/>
    <mergeCell ref="A23:E23"/>
    <mergeCell ref="F23:G23"/>
    <mergeCell ref="H23:I2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</dc:creator>
  <cp:lastModifiedBy>office8</cp:lastModifiedBy>
  <cp:lastPrinted>2019-11-19T03:03:39Z</cp:lastPrinted>
  <dcterms:created xsi:type="dcterms:W3CDTF">2017-05-05T08:05:46Z</dcterms:created>
  <dcterms:modified xsi:type="dcterms:W3CDTF">2026-10-12T16:28:48Z</dcterms:modified>
</cp:coreProperties>
</file>