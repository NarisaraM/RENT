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risara\Desktop\Workshop AI\RENT\"/>
    </mc:Choice>
  </mc:AlternateContent>
  <xr:revisionPtr revIDLastSave="0" documentId="13_ncr:1_{0DFA2BB2-495E-4E0C-8550-9238E7739E76}" xr6:coauthVersionLast="47" xr6:coauthVersionMax="47" xr10:uidLastSave="{00000000-0000-0000-0000-000000000000}"/>
  <bookViews>
    <workbookView xWindow="-108" yWindow="-108" windowWidth="23256" windowHeight="13896" tabRatio="734" xr2:uid="{00000000-000D-0000-FFFF-FFFF00000000}"/>
  </bookViews>
  <sheets>
    <sheet name="Charg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1" l="1"/>
  <c r="AR4" i="11" s="1"/>
  <c r="AR5" i="11" s="1"/>
  <c r="AU2" i="11" s="1"/>
  <c r="AU3" i="11" s="1"/>
  <c r="AU4" i="11" s="1"/>
  <c r="AU5" i="11" s="1"/>
  <c r="AL3" i="11"/>
  <c r="AL4" i="11" s="1"/>
  <c r="AL5" i="11" s="1"/>
  <c r="AO2" i="11" s="1"/>
  <c r="AO3" i="11" s="1"/>
  <c r="AO4" i="11" s="1"/>
  <c r="AO5" i="11" s="1"/>
  <c r="AE3" i="11"/>
  <c r="AE4" i="11" s="1"/>
  <c r="AE5" i="11" s="1"/>
  <c r="AH2" i="11" s="1"/>
  <c r="AH3" i="11" s="1"/>
  <c r="AH4" i="11" s="1"/>
  <c r="AH5" i="11" s="1"/>
  <c r="Y3" i="11"/>
  <c r="Y4" i="11" s="1"/>
  <c r="Y5" i="11" s="1"/>
  <c r="AB2" i="11" s="1"/>
  <c r="AB3" i="11" s="1"/>
  <c r="AB4" i="11" s="1"/>
  <c r="AB5" i="11" s="1"/>
  <c r="AR2" i="11"/>
  <c r="AL2" i="11"/>
  <c r="AE2" i="11"/>
  <c r="Y2" i="11"/>
</calcChain>
</file>

<file path=xl/sharedStrings.xml><?xml version="1.0" encoding="utf-8"?>
<sst xmlns="http://schemas.openxmlformats.org/spreadsheetml/2006/main" count="52" uniqueCount="31">
  <si>
    <t>DG</t>
  </si>
  <si>
    <t>Day</t>
  </si>
  <si>
    <t>GP/RF</t>
  </si>
  <si>
    <t>20'</t>
  </si>
  <si>
    <t>40'</t>
  </si>
  <si>
    <t>สะสม 20'</t>
  </si>
  <si>
    <t>สะสม 40'</t>
  </si>
  <si>
    <t>Customer</t>
  </si>
  <si>
    <t>LCH</t>
  </si>
  <si>
    <t>BKK</t>
  </si>
  <si>
    <t>UTCT</t>
  </si>
  <si>
    <t>PAT / Terminal 2</t>
  </si>
  <si>
    <t>PAT / Terminal 1</t>
  </si>
  <si>
    <t>UNITHAI</t>
  </si>
  <si>
    <t>ESCO B3</t>
  </si>
  <si>
    <t>Hutchison A2</t>
  </si>
  <si>
    <t>TIPS B4</t>
  </si>
  <si>
    <t>LCMT A0/B1</t>
  </si>
  <si>
    <t>LCIT B5</t>
  </si>
  <si>
    <t>Hutchison A3</t>
  </si>
  <si>
    <t>Hutchison C1C2</t>
  </si>
  <si>
    <t>Hutchison D1</t>
  </si>
  <si>
    <t>LCIT C3</t>
  </si>
  <si>
    <t xml:space="preserve">COST ELECTRIC CHARGE </t>
  </si>
  <si>
    <t>20' RF</t>
  </si>
  <si>
    <t>40' RF</t>
  </si>
  <si>
    <t>1-4</t>
  </si>
  <si>
    <t>5-8</t>
  </si>
  <si>
    <t>9 เป็นต้นไป</t>
  </si>
  <si>
    <t>ค่า Electric charge จะเริ่มคิด เมื่อเกิน free time 3 วัน โดยจะคิดรายวัน ตามค่าใช้จ่าย ด้านบน และเฉพาะตู้ RF เท่านั้น</t>
  </si>
  <si>
    <t>GP/RF/OOG / TK / FLEXIBAG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</si>
</sst>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2">
    <xf numFmtId="0" fontId="0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10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0" fontId="5" fillId="0" borderId="0"/>
    <xf numFmtId="0" fontId="8" fillId="0" borderId="0"/>
    <xf numFmtId="43" fontId="8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8" fillId="0" borderId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0" xfId="0" applyFont="1"/>
    <xf numFmtId="1" fontId="15" fillId="0" borderId="0" xfId="0" applyNumberFormat="1" applyFont="1"/>
    <xf numFmtId="0" fontId="15" fillId="0" borderId="0" xfId="0" applyFont="1" applyAlignment="1">
      <alignment horizontal="center"/>
    </xf>
    <xf numFmtId="0" fontId="16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3" fillId="0" borderId="0" xfId="0" applyFont="1"/>
  </cellXfs>
  <cellStyles count="122">
    <cellStyle name="Comma 2" xfId="3" xr:uid="{00000000-0005-0000-0000-000001000000}"/>
    <cellStyle name="Comma 3" xfId="6" xr:uid="{00000000-0005-0000-0000-000002000000}"/>
    <cellStyle name="Comma 4" xfId="10" xr:uid="{00000000-0005-0000-0000-000003000000}"/>
    <cellStyle name="Comma 5" xfId="15" xr:uid="{00000000-0005-0000-0000-000004000000}"/>
    <cellStyle name="Comma 6" xfId="23" xr:uid="{00000000-0005-0000-0000-000005000000}"/>
    <cellStyle name="Comma 7" xfId="46" xr:uid="{00000000-0005-0000-0000-000006000000}"/>
    <cellStyle name="Normal" xfId="0" builtinId="0"/>
    <cellStyle name="Normal 10" xfId="22" xr:uid="{00000000-0005-0000-0000-000008000000}"/>
    <cellStyle name="Normal 11" xfId="21" xr:uid="{00000000-0005-0000-0000-000009000000}"/>
    <cellStyle name="Normal 11 2" xfId="58" xr:uid="{00000000-0005-0000-0000-00000A000000}"/>
    <cellStyle name="Normal 11 2 2" xfId="110" xr:uid="{00000000-0005-0000-0000-00000B000000}"/>
    <cellStyle name="Normal 11 3" xfId="86" xr:uid="{00000000-0005-0000-0000-00000C000000}"/>
    <cellStyle name="Normal 12" xfId="35" xr:uid="{00000000-0005-0000-0000-00000D000000}"/>
    <cellStyle name="Normal 13" xfId="45" xr:uid="{00000000-0005-0000-0000-00000E000000}"/>
    <cellStyle name="Normal 14" xfId="44" xr:uid="{00000000-0005-0000-0000-00000F000000}"/>
    <cellStyle name="Normal 14 2" xfId="98" xr:uid="{00000000-0005-0000-0000-000010000000}"/>
    <cellStyle name="Normal 15" xfId="74" xr:uid="{00000000-0005-0000-0000-000011000000}"/>
    <cellStyle name="Normal 2" xfId="2" xr:uid="{00000000-0005-0000-0000-000012000000}"/>
    <cellStyle name="Normal 2 2" xfId="36" xr:uid="{00000000-0005-0000-0000-000013000000}"/>
    <cellStyle name="Normal 2 2 2" xfId="70" xr:uid="{00000000-0005-0000-0000-000014000000}"/>
    <cellStyle name="Normal 3" xfId="1" xr:uid="{00000000-0005-0000-0000-000015000000}"/>
    <cellStyle name="Normal 3 2" xfId="7" xr:uid="{00000000-0005-0000-0000-000016000000}"/>
    <cellStyle name="Normal 3 2 2" xfId="12" xr:uid="{00000000-0005-0000-0000-000017000000}"/>
    <cellStyle name="Normal 3 2 2 2" xfId="20" xr:uid="{00000000-0005-0000-0000-000018000000}"/>
    <cellStyle name="Normal 3 2 2 2 2" xfId="34" xr:uid="{00000000-0005-0000-0000-000019000000}"/>
    <cellStyle name="Normal 3 2 2 2 2 2" xfId="69" xr:uid="{00000000-0005-0000-0000-00001A000000}"/>
    <cellStyle name="Normal 3 2 2 2 2 2 2" xfId="121" xr:uid="{00000000-0005-0000-0000-00001B000000}"/>
    <cellStyle name="Normal 3 2 2 2 2 3" xfId="97" xr:uid="{00000000-0005-0000-0000-00001C000000}"/>
    <cellStyle name="Normal 3 2 2 2 3" xfId="57" xr:uid="{00000000-0005-0000-0000-00001D000000}"/>
    <cellStyle name="Normal 3 2 2 2 3 2" xfId="109" xr:uid="{00000000-0005-0000-0000-00001E000000}"/>
    <cellStyle name="Normal 3 2 2 2 4" xfId="85" xr:uid="{00000000-0005-0000-0000-00001F000000}"/>
    <cellStyle name="Normal 3 2 2 3" xfId="28" xr:uid="{00000000-0005-0000-0000-000020000000}"/>
    <cellStyle name="Normal 3 2 2 3 2" xfId="63" xr:uid="{00000000-0005-0000-0000-000021000000}"/>
    <cellStyle name="Normal 3 2 2 3 2 2" xfId="115" xr:uid="{00000000-0005-0000-0000-000022000000}"/>
    <cellStyle name="Normal 3 2 2 3 3" xfId="91" xr:uid="{00000000-0005-0000-0000-000023000000}"/>
    <cellStyle name="Normal 3 2 2 4" xfId="51" xr:uid="{00000000-0005-0000-0000-000024000000}"/>
    <cellStyle name="Normal 3 2 2 4 2" xfId="103" xr:uid="{00000000-0005-0000-0000-000025000000}"/>
    <cellStyle name="Normal 3 2 2 5" xfId="79" xr:uid="{00000000-0005-0000-0000-000026000000}"/>
    <cellStyle name="Normal 3 2 3" xfId="17" xr:uid="{00000000-0005-0000-0000-000027000000}"/>
    <cellStyle name="Normal 3 2 3 2" xfId="31" xr:uid="{00000000-0005-0000-0000-000028000000}"/>
    <cellStyle name="Normal 3 2 3 2 2" xfId="66" xr:uid="{00000000-0005-0000-0000-000029000000}"/>
    <cellStyle name="Normal 3 2 3 2 2 2" xfId="118" xr:uid="{00000000-0005-0000-0000-00002A000000}"/>
    <cellStyle name="Normal 3 2 3 2 3" xfId="94" xr:uid="{00000000-0005-0000-0000-00002B000000}"/>
    <cellStyle name="Normal 3 2 3 3" xfId="54" xr:uid="{00000000-0005-0000-0000-00002C000000}"/>
    <cellStyle name="Normal 3 2 3 3 2" xfId="106" xr:uid="{00000000-0005-0000-0000-00002D000000}"/>
    <cellStyle name="Normal 3 2 3 4" xfId="82" xr:uid="{00000000-0005-0000-0000-00002E000000}"/>
    <cellStyle name="Normal 3 2 4" xfId="25" xr:uid="{00000000-0005-0000-0000-00002F000000}"/>
    <cellStyle name="Normal 3 2 4 2" xfId="60" xr:uid="{00000000-0005-0000-0000-000030000000}"/>
    <cellStyle name="Normal 3 2 4 2 2" xfId="112" xr:uid="{00000000-0005-0000-0000-000031000000}"/>
    <cellStyle name="Normal 3 2 4 3" xfId="88" xr:uid="{00000000-0005-0000-0000-000032000000}"/>
    <cellStyle name="Normal 3 2 5" xfId="48" xr:uid="{00000000-0005-0000-0000-000033000000}"/>
    <cellStyle name="Normal 3 2 5 2" xfId="100" xr:uid="{00000000-0005-0000-0000-000034000000}"/>
    <cellStyle name="Normal 3 2 6" xfId="76" xr:uid="{00000000-0005-0000-0000-000035000000}"/>
    <cellStyle name="Normal 3 3" xfId="11" xr:uid="{00000000-0005-0000-0000-000036000000}"/>
    <cellStyle name="Normal 3 3 2" xfId="19" xr:uid="{00000000-0005-0000-0000-000037000000}"/>
    <cellStyle name="Normal 3 3 2 2" xfId="33" xr:uid="{00000000-0005-0000-0000-000038000000}"/>
    <cellStyle name="Normal 3 3 2 2 2" xfId="68" xr:uid="{00000000-0005-0000-0000-000039000000}"/>
    <cellStyle name="Normal 3 3 2 2 2 2" xfId="120" xr:uid="{00000000-0005-0000-0000-00003A000000}"/>
    <cellStyle name="Normal 3 3 2 2 3" xfId="96" xr:uid="{00000000-0005-0000-0000-00003B000000}"/>
    <cellStyle name="Normal 3 3 2 3" xfId="56" xr:uid="{00000000-0005-0000-0000-00003C000000}"/>
    <cellStyle name="Normal 3 3 2 3 2" xfId="108" xr:uid="{00000000-0005-0000-0000-00003D000000}"/>
    <cellStyle name="Normal 3 3 2 4" xfId="84" xr:uid="{00000000-0005-0000-0000-00003E000000}"/>
    <cellStyle name="Normal 3 3 3" xfId="27" xr:uid="{00000000-0005-0000-0000-00003F000000}"/>
    <cellStyle name="Normal 3 3 3 2" xfId="62" xr:uid="{00000000-0005-0000-0000-000040000000}"/>
    <cellStyle name="Normal 3 3 3 2 2" xfId="114" xr:uid="{00000000-0005-0000-0000-000041000000}"/>
    <cellStyle name="Normal 3 3 3 3" xfId="90" xr:uid="{00000000-0005-0000-0000-000042000000}"/>
    <cellStyle name="Normal 3 3 4" xfId="50" xr:uid="{00000000-0005-0000-0000-000043000000}"/>
    <cellStyle name="Normal 3 3 4 2" xfId="102" xr:uid="{00000000-0005-0000-0000-000044000000}"/>
    <cellStyle name="Normal 3 3 5" xfId="78" xr:uid="{00000000-0005-0000-0000-000045000000}"/>
    <cellStyle name="Normal 3 4" xfId="16" xr:uid="{00000000-0005-0000-0000-000046000000}"/>
    <cellStyle name="Normal 3 4 2" xfId="30" xr:uid="{00000000-0005-0000-0000-000047000000}"/>
    <cellStyle name="Normal 3 4 2 2" xfId="65" xr:uid="{00000000-0005-0000-0000-000048000000}"/>
    <cellStyle name="Normal 3 4 2 2 2" xfId="117" xr:uid="{00000000-0005-0000-0000-000049000000}"/>
    <cellStyle name="Normal 3 4 2 3" xfId="93" xr:uid="{00000000-0005-0000-0000-00004A000000}"/>
    <cellStyle name="Normal 3 4 3" xfId="53" xr:uid="{00000000-0005-0000-0000-00004B000000}"/>
    <cellStyle name="Normal 3 4 3 2" xfId="105" xr:uid="{00000000-0005-0000-0000-00004C000000}"/>
    <cellStyle name="Normal 3 4 4" xfId="81" xr:uid="{00000000-0005-0000-0000-00004D000000}"/>
    <cellStyle name="Normal 3 5" xfId="24" xr:uid="{00000000-0005-0000-0000-00004E000000}"/>
    <cellStyle name="Normal 3 5 2" xfId="59" xr:uid="{00000000-0005-0000-0000-00004F000000}"/>
    <cellStyle name="Normal 3 5 2 2" xfId="111" xr:uid="{00000000-0005-0000-0000-000050000000}"/>
    <cellStyle name="Normal 3 5 3" xfId="87" xr:uid="{00000000-0005-0000-0000-000051000000}"/>
    <cellStyle name="Normal 3 6" xfId="40" xr:uid="{00000000-0005-0000-0000-000052000000}"/>
    <cellStyle name="Normal 3 7" xfId="47" xr:uid="{00000000-0005-0000-0000-000053000000}"/>
    <cellStyle name="Normal 3 7 2" xfId="99" xr:uid="{00000000-0005-0000-0000-000054000000}"/>
    <cellStyle name="Normal 3 8" xfId="75" xr:uid="{00000000-0005-0000-0000-000055000000}"/>
    <cellStyle name="Normal 4" xfId="5" xr:uid="{00000000-0005-0000-0000-000056000000}"/>
    <cellStyle name="Normal 439" xfId="42" xr:uid="{00000000-0005-0000-0000-000057000000}"/>
    <cellStyle name="Normal 440" xfId="43" xr:uid="{00000000-0005-0000-0000-000058000000}"/>
    <cellStyle name="Normal 46" xfId="41" xr:uid="{00000000-0005-0000-0000-000059000000}"/>
    <cellStyle name="Normal 5" xfId="4" xr:uid="{00000000-0005-0000-0000-00005A000000}"/>
    <cellStyle name="Normal 6" xfId="9" xr:uid="{00000000-0005-0000-0000-00005B000000}"/>
    <cellStyle name="Normal 7" xfId="8" xr:uid="{00000000-0005-0000-0000-00005C000000}"/>
    <cellStyle name="Normal 7 2" xfId="18" xr:uid="{00000000-0005-0000-0000-00005D000000}"/>
    <cellStyle name="Normal 7 2 2" xfId="32" xr:uid="{00000000-0005-0000-0000-00005E000000}"/>
    <cellStyle name="Normal 7 2 2 2" xfId="67" xr:uid="{00000000-0005-0000-0000-00005F000000}"/>
    <cellStyle name="Normal 7 2 2 2 2" xfId="119" xr:uid="{00000000-0005-0000-0000-000060000000}"/>
    <cellStyle name="Normal 7 2 2 3" xfId="95" xr:uid="{00000000-0005-0000-0000-000061000000}"/>
    <cellStyle name="Normal 7 2 3" xfId="55" xr:uid="{00000000-0005-0000-0000-000062000000}"/>
    <cellStyle name="Normal 7 2 3 2" xfId="107" xr:uid="{00000000-0005-0000-0000-000063000000}"/>
    <cellStyle name="Normal 7 2 4" xfId="83" xr:uid="{00000000-0005-0000-0000-000064000000}"/>
    <cellStyle name="Normal 7 3" xfId="26" xr:uid="{00000000-0005-0000-0000-000065000000}"/>
    <cellStyle name="Normal 7 3 2" xfId="61" xr:uid="{00000000-0005-0000-0000-000066000000}"/>
    <cellStyle name="Normal 7 3 2 2" xfId="113" xr:uid="{00000000-0005-0000-0000-000067000000}"/>
    <cellStyle name="Normal 7 3 3" xfId="89" xr:uid="{00000000-0005-0000-0000-000068000000}"/>
    <cellStyle name="Normal 7 4" xfId="49" xr:uid="{00000000-0005-0000-0000-000069000000}"/>
    <cellStyle name="Normal 7 4 2" xfId="101" xr:uid="{00000000-0005-0000-0000-00006A000000}"/>
    <cellStyle name="Normal 7 5" xfId="77" xr:uid="{00000000-0005-0000-0000-00006B000000}"/>
    <cellStyle name="Normal 8" xfId="14" xr:uid="{00000000-0005-0000-0000-00006C000000}"/>
    <cellStyle name="Normal 9" xfId="13" xr:uid="{00000000-0005-0000-0000-00006D000000}"/>
    <cellStyle name="Normal 9 2" xfId="29" xr:uid="{00000000-0005-0000-0000-00006E000000}"/>
    <cellStyle name="Normal 9 2 2" xfId="64" xr:uid="{00000000-0005-0000-0000-00006F000000}"/>
    <cellStyle name="Normal 9 2 2 2" xfId="116" xr:uid="{00000000-0005-0000-0000-000070000000}"/>
    <cellStyle name="Normal 9 2 3" xfId="92" xr:uid="{00000000-0005-0000-0000-000071000000}"/>
    <cellStyle name="Normal 9 3" xfId="52" xr:uid="{00000000-0005-0000-0000-000072000000}"/>
    <cellStyle name="Normal 9 3 2" xfId="104" xr:uid="{00000000-0005-0000-0000-000073000000}"/>
    <cellStyle name="Normal 9 4" xfId="80" xr:uid="{00000000-0005-0000-0000-000074000000}"/>
    <cellStyle name="Percent 3" xfId="37" xr:uid="{00000000-0005-0000-0000-000075000000}"/>
    <cellStyle name="Percent 3 2" xfId="71" xr:uid="{00000000-0005-0000-0000-000076000000}"/>
    <cellStyle name="Percent 4" xfId="38" xr:uid="{00000000-0005-0000-0000-000077000000}"/>
    <cellStyle name="Percent 4 2" xfId="72" xr:uid="{00000000-0005-0000-0000-000078000000}"/>
    <cellStyle name="Percent 5" xfId="39" xr:uid="{00000000-0005-0000-0000-000079000000}"/>
    <cellStyle name="Percent 5 2" xfId="73" xr:uid="{00000000-0005-0000-0000-00007A000000}"/>
  </cellStyles>
  <dxfs count="0"/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16"/>
  <sheetViews>
    <sheetView tabSelected="1" zoomScale="77" workbookViewId="0">
      <selection activeCell="K2" sqref="K2"/>
    </sheetView>
  </sheetViews>
  <sheetFormatPr defaultColWidth="11.69921875" defaultRowHeight="13.2" x14ac:dyDescent="0.25"/>
  <cols>
    <col min="1" max="1" width="9.8984375" style="2" customWidth="1"/>
    <col min="2" max="2" width="10.8984375" style="1" customWidth="1"/>
    <col min="3" max="3" width="10.8984375" style="2" customWidth="1"/>
    <col min="4" max="4" width="9.09765625" style="2" customWidth="1"/>
    <col min="5" max="5" width="8.8984375" style="2" customWidth="1"/>
    <col min="6" max="9" width="5.69921875" style="2" customWidth="1"/>
    <col min="10" max="10" width="8.3984375" style="2" customWidth="1"/>
    <col min="11" max="11" width="11.296875" style="1" customWidth="1"/>
    <col min="12" max="12" width="10.5" style="1" customWidth="1"/>
    <col min="13" max="13" width="11.3984375" style="1" customWidth="1"/>
    <col min="14" max="14" width="6.59765625" style="1" customWidth="1"/>
    <col min="15" max="15" width="3.09765625" style="1" customWidth="1"/>
    <col min="16" max="16" width="12.296875" style="1" customWidth="1"/>
    <col min="17" max="17" width="7.3984375" style="1" customWidth="1"/>
    <col min="18" max="18" width="6.59765625" style="1" customWidth="1"/>
    <col min="19" max="19" width="10.09765625" style="1" customWidth="1"/>
    <col min="20" max="21" width="6.59765625" style="1" customWidth="1"/>
    <col min="22" max="22" width="9" style="2" customWidth="1"/>
    <col min="23" max="23" width="5.8984375" style="2" hidden="1" customWidth="1"/>
    <col min="24" max="27" width="4.69921875" style="2" hidden="1" customWidth="1"/>
    <col min="28" max="29" width="5.19921875" style="2" hidden="1" customWidth="1"/>
    <col min="30" max="33" width="4.69921875" style="1" hidden="1" customWidth="1"/>
    <col min="34" max="34" width="5.19921875" style="1" hidden="1" customWidth="1"/>
    <col min="35" max="35" width="2.8984375" style="2" hidden="1" customWidth="1"/>
    <col min="36" max="39" width="4.69921875" style="1" hidden="1" customWidth="1"/>
    <col min="40" max="40" width="5.19921875" style="1" hidden="1" customWidth="1"/>
    <col min="41" max="41" width="6.09765625" style="2" hidden="1" customWidth="1"/>
    <col min="42" max="45" width="4.69921875" style="1" hidden="1" customWidth="1"/>
    <col min="46" max="46" width="5.19921875" style="1" hidden="1" customWidth="1"/>
    <col min="47" max="47" width="7.09765625" style="1" hidden="1" customWidth="1"/>
    <col min="48" max="16384" width="11.69921875" style="1"/>
  </cols>
  <sheetData>
    <row r="1" spans="1:47" ht="17.100000000000001" customHeight="1" x14ac:dyDescent="0.25">
      <c r="A1" s="25" t="s">
        <v>9</v>
      </c>
      <c r="B1" s="5"/>
      <c r="J1" s="20" t="s">
        <v>7</v>
      </c>
      <c r="K1" s="8" t="s">
        <v>30</v>
      </c>
      <c r="L1" s="7"/>
      <c r="M1" s="7"/>
      <c r="N1" s="8"/>
      <c r="O1" s="5"/>
      <c r="P1" s="6" t="s">
        <v>0</v>
      </c>
      <c r="Q1" s="7"/>
      <c r="R1" s="7"/>
      <c r="S1" s="7"/>
      <c r="T1" s="8"/>
      <c r="U1" s="8"/>
      <c r="W1" s="4" t="s">
        <v>2</v>
      </c>
      <c r="X1" s="4" t="s">
        <v>3</v>
      </c>
      <c r="Y1" s="4"/>
      <c r="Z1" s="4"/>
      <c r="AA1" s="4"/>
      <c r="AB1" s="4"/>
      <c r="AC1" s="4" t="s">
        <v>2</v>
      </c>
      <c r="AD1" s="4" t="s">
        <v>4</v>
      </c>
      <c r="AE1" s="4"/>
      <c r="AF1" s="4"/>
      <c r="AG1" s="4"/>
      <c r="AH1" s="4"/>
      <c r="AJ1" s="3" t="s">
        <v>0</v>
      </c>
      <c r="AK1" s="3" t="s">
        <v>3</v>
      </c>
      <c r="AL1" s="17"/>
      <c r="AM1" s="17"/>
      <c r="AN1" s="17"/>
      <c r="AO1" s="17"/>
      <c r="AP1" s="3" t="s">
        <v>0</v>
      </c>
      <c r="AQ1" s="3" t="s">
        <v>4</v>
      </c>
      <c r="AR1" s="15"/>
      <c r="AS1" s="14"/>
      <c r="AT1" s="15"/>
      <c r="AU1" s="15"/>
    </row>
    <row r="2" spans="1:47" ht="17.100000000000001" customHeight="1" x14ac:dyDescent="0.25">
      <c r="A2" s="27" t="s">
        <v>12</v>
      </c>
      <c r="B2" s="5"/>
      <c r="K2" s="2" t="s">
        <v>1</v>
      </c>
      <c r="L2" s="2" t="s">
        <v>3</v>
      </c>
      <c r="M2" s="2" t="s">
        <v>1</v>
      </c>
      <c r="N2" s="2" t="s">
        <v>4</v>
      </c>
      <c r="O2" s="2"/>
      <c r="P2" s="2" t="s">
        <v>1</v>
      </c>
      <c r="Q2" s="2" t="s">
        <v>5</v>
      </c>
      <c r="R2" s="2" t="s">
        <v>3</v>
      </c>
      <c r="S2" s="2" t="s">
        <v>1</v>
      </c>
      <c r="T2" s="2" t="s">
        <v>6</v>
      </c>
      <c r="U2" s="2" t="s">
        <v>4</v>
      </c>
      <c r="W2" s="16">
        <v>0</v>
      </c>
      <c r="X2" s="14">
        <v>0</v>
      </c>
      <c r="Y2" s="14">
        <f>X2</f>
        <v>0</v>
      </c>
      <c r="Z2" s="14">
        <v>5</v>
      </c>
      <c r="AA2" s="15">
        <v>600</v>
      </c>
      <c r="AB2" s="15" t="e">
        <f>#REF!+AA2</f>
        <v>#REF!</v>
      </c>
      <c r="AC2" s="16">
        <v>0</v>
      </c>
      <c r="AD2" s="14">
        <v>0</v>
      </c>
      <c r="AE2" s="14">
        <f>AD2</f>
        <v>0</v>
      </c>
      <c r="AF2" s="14">
        <v>5</v>
      </c>
      <c r="AG2" s="15">
        <v>1200</v>
      </c>
      <c r="AH2" s="15" t="e">
        <f>#REF!+AG2</f>
        <v>#REF!</v>
      </c>
      <c r="AJ2" s="16">
        <v>0</v>
      </c>
      <c r="AK2" s="14">
        <v>0</v>
      </c>
      <c r="AL2" s="14">
        <f>AK2</f>
        <v>0</v>
      </c>
      <c r="AM2" s="14">
        <v>5</v>
      </c>
      <c r="AN2" s="15">
        <v>1800</v>
      </c>
      <c r="AO2" s="15" t="e">
        <f>#REF!+AN2</f>
        <v>#REF!</v>
      </c>
      <c r="AP2" s="16">
        <v>0</v>
      </c>
      <c r="AQ2" s="14">
        <v>0</v>
      </c>
      <c r="AR2" s="14">
        <f>AQ2</f>
        <v>0</v>
      </c>
      <c r="AS2" s="14">
        <v>5</v>
      </c>
      <c r="AT2" s="15">
        <v>3600</v>
      </c>
      <c r="AU2" s="15" t="e">
        <f>#REF!+AT2</f>
        <v>#REF!</v>
      </c>
    </row>
    <row r="3" spans="1:47" s="19" customFormat="1" ht="17.100000000000001" customHeight="1" x14ac:dyDescent="0.25">
      <c r="A3" s="27" t="s">
        <v>11</v>
      </c>
      <c r="C3" s="18"/>
      <c r="D3" s="18"/>
      <c r="E3" s="18"/>
      <c r="F3" s="18"/>
      <c r="G3" s="18"/>
      <c r="H3" s="18"/>
      <c r="I3" s="18"/>
      <c r="J3" s="18"/>
      <c r="K3" s="9" t="s">
        <v>26</v>
      </c>
      <c r="L3" s="21">
        <v>375</v>
      </c>
      <c r="M3" s="9" t="s">
        <v>26</v>
      </c>
      <c r="N3" s="23">
        <v>750</v>
      </c>
      <c r="O3" s="2"/>
      <c r="P3" s="9" t="s">
        <v>26</v>
      </c>
      <c r="Q3" s="2">
        <v>0</v>
      </c>
      <c r="R3" s="10">
        <v>900</v>
      </c>
      <c r="S3" s="9" t="s">
        <v>26</v>
      </c>
      <c r="T3" s="2">
        <v>0</v>
      </c>
      <c r="U3" s="10">
        <v>1800</v>
      </c>
      <c r="V3" s="18"/>
      <c r="W3" s="16">
        <v>1</v>
      </c>
      <c r="X3" s="15">
        <v>300</v>
      </c>
      <c r="Y3" s="15">
        <f>X2+X3</f>
        <v>300</v>
      </c>
      <c r="Z3" s="14">
        <v>6</v>
      </c>
      <c r="AA3" s="15">
        <v>600</v>
      </c>
      <c r="AB3" s="15" t="e">
        <f>AB2+AA3</f>
        <v>#REF!</v>
      </c>
      <c r="AC3" s="16">
        <v>1</v>
      </c>
      <c r="AD3" s="15">
        <v>600</v>
      </c>
      <c r="AE3" s="15">
        <f>AD2+AD3</f>
        <v>600</v>
      </c>
      <c r="AF3" s="14">
        <v>6</v>
      </c>
      <c r="AG3" s="15">
        <v>1200</v>
      </c>
      <c r="AH3" s="15" t="e">
        <f>AH2+AG3</f>
        <v>#REF!</v>
      </c>
      <c r="AI3" s="2"/>
      <c r="AJ3" s="16">
        <v>1</v>
      </c>
      <c r="AK3" s="15">
        <v>900</v>
      </c>
      <c r="AL3" s="15">
        <f>AK2+AK3</f>
        <v>900</v>
      </c>
      <c r="AM3" s="14">
        <v>6</v>
      </c>
      <c r="AN3" s="15">
        <v>1800</v>
      </c>
      <c r="AO3" s="15" t="e">
        <f>AO2+AN3</f>
        <v>#REF!</v>
      </c>
      <c r="AP3" s="16">
        <v>1</v>
      </c>
      <c r="AQ3" s="15">
        <v>1800</v>
      </c>
      <c r="AR3" s="15">
        <f>AQ2+AQ3</f>
        <v>1800</v>
      </c>
      <c r="AS3" s="14">
        <v>6</v>
      </c>
      <c r="AT3" s="15">
        <v>3600</v>
      </c>
      <c r="AU3" s="15" t="e">
        <f>AU2+AT3</f>
        <v>#REF!</v>
      </c>
    </row>
    <row r="4" spans="1:47" s="19" customFormat="1" ht="17.100000000000001" customHeight="1" x14ac:dyDescent="0.25">
      <c r="A4" s="25" t="s">
        <v>10</v>
      </c>
      <c r="C4" s="18"/>
      <c r="D4" s="18"/>
      <c r="E4" s="18"/>
      <c r="F4" s="18"/>
      <c r="G4" s="18"/>
      <c r="H4" s="18"/>
      <c r="I4" s="18"/>
      <c r="J4" s="18"/>
      <c r="K4" s="9" t="s">
        <v>27</v>
      </c>
      <c r="L4" s="21">
        <v>750</v>
      </c>
      <c r="M4" s="9" t="s">
        <v>27</v>
      </c>
      <c r="N4" s="23">
        <v>1500</v>
      </c>
      <c r="O4" s="2"/>
      <c r="P4" s="9" t="s">
        <v>27</v>
      </c>
      <c r="Q4" s="12">
        <v>3360</v>
      </c>
      <c r="R4" s="10">
        <v>1800</v>
      </c>
      <c r="S4" s="9" t="s">
        <v>27</v>
      </c>
      <c r="T4" s="12">
        <v>6720</v>
      </c>
      <c r="U4" s="10">
        <v>3600</v>
      </c>
      <c r="V4" s="18"/>
      <c r="W4" s="16">
        <v>2</v>
      </c>
      <c r="X4" s="15">
        <v>300</v>
      </c>
      <c r="Y4" s="15">
        <f>Y3+X4</f>
        <v>600</v>
      </c>
      <c r="Z4" s="14">
        <v>7</v>
      </c>
      <c r="AA4" s="15">
        <v>600</v>
      </c>
      <c r="AB4" s="15" t="e">
        <f>AB3+AA4</f>
        <v>#REF!</v>
      </c>
      <c r="AC4" s="16">
        <v>2</v>
      </c>
      <c r="AD4" s="15">
        <v>600</v>
      </c>
      <c r="AE4" s="15">
        <f>AE3+AD4</f>
        <v>1200</v>
      </c>
      <c r="AF4" s="14">
        <v>7</v>
      </c>
      <c r="AG4" s="15">
        <v>1200</v>
      </c>
      <c r="AH4" s="15" t="e">
        <f>AH3+AG4</f>
        <v>#REF!</v>
      </c>
      <c r="AI4" s="2"/>
      <c r="AJ4" s="16">
        <v>2</v>
      </c>
      <c r="AK4" s="15">
        <v>900</v>
      </c>
      <c r="AL4" s="15">
        <f>AL3+AK4</f>
        <v>1800</v>
      </c>
      <c r="AM4" s="14">
        <v>7</v>
      </c>
      <c r="AN4" s="15">
        <v>1800</v>
      </c>
      <c r="AO4" s="15" t="e">
        <f>AO3+AN4</f>
        <v>#REF!</v>
      </c>
      <c r="AP4" s="16">
        <v>2</v>
      </c>
      <c r="AQ4" s="15">
        <v>1800</v>
      </c>
      <c r="AR4" s="15">
        <f>AR3+AQ4</f>
        <v>3600</v>
      </c>
      <c r="AS4" s="14">
        <v>7</v>
      </c>
      <c r="AT4" s="15">
        <v>3600</v>
      </c>
      <c r="AU4" s="15" t="e">
        <f>AU3+AT4</f>
        <v>#REF!</v>
      </c>
    </row>
    <row r="5" spans="1:47" s="19" customFormat="1" ht="17.100000000000001" customHeight="1" x14ac:dyDescent="0.25">
      <c r="A5" s="26" t="s">
        <v>13</v>
      </c>
      <c r="C5" s="18"/>
      <c r="D5" s="18"/>
      <c r="E5" s="18"/>
      <c r="F5" s="18"/>
      <c r="G5" s="18"/>
      <c r="H5" s="18"/>
      <c r="I5" s="18"/>
      <c r="J5" s="18"/>
      <c r="K5" s="9" t="s">
        <v>28</v>
      </c>
      <c r="L5" s="22">
        <v>1500</v>
      </c>
      <c r="M5" s="9" t="s">
        <v>28</v>
      </c>
      <c r="N5" s="24">
        <v>3000</v>
      </c>
      <c r="O5" s="2"/>
      <c r="P5" s="9" t="s">
        <v>28</v>
      </c>
      <c r="Q5" s="13">
        <v>9135</v>
      </c>
      <c r="R5" s="11">
        <v>3600</v>
      </c>
      <c r="S5" s="9" t="s">
        <v>28</v>
      </c>
      <c r="T5" s="13">
        <v>18270</v>
      </c>
      <c r="U5" s="11">
        <v>7200</v>
      </c>
      <c r="V5" s="18"/>
      <c r="W5" s="16">
        <v>3</v>
      </c>
      <c r="X5" s="15">
        <v>300</v>
      </c>
      <c r="Y5" s="15">
        <f>Y4+X5</f>
        <v>900</v>
      </c>
      <c r="Z5" s="14">
        <v>8</v>
      </c>
      <c r="AA5" s="15">
        <v>600</v>
      </c>
      <c r="AB5" s="15" t="e">
        <f>AB4+AA5</f>
        <v>#REF!</v>
      </c>
      <c r="AC5" s="16">
        <v>3</v>
      </c>
      <c r="AD5" s="15">
        <v>600</v>
      </c>
      <c r="AE5" s="15">
        <f>AE4+AD5</f>
        <v>1800</v>
      </c>
      <c r="AF5" s="14">
        <v>8</v>
      </c>
      <c r="AG5" s="15">
        <v>1200</v>
      </c>
      <c r="AH5" s="15" t="e">
        <f>AH4+AG5</f>
        <v>#REF!</v>
      </c>
      <c r="AI5" s="2"/>
      <c r="AJ5" s="16">
        <v>3</v>
      </c>
      <c r="AK5" s="15">
        <v>900</v>
      </c>
      <c r="AL5" s="15">
        <f>AL4+AK5</f>
        <v>2700</v>
      </c>
      <c r="AM5" s="14">
        <v>8</v>
      </c>
      <c r="AN5" s="15">
        <v>1800</v>
      </c>
      <c r="AO5" s="15" t="e">
        <f>AO4+AN5</f>
        <v>#REF!</v>
      </c>
      <c r="AP5" s="16">
        <v>3</v>
      </c>
      <c r="AQ5" s="15">
        <v>1800</v>
      </c>
      <c r="AR5" s="15">
        <f>AR4+AQ5</f>
        <v>5400</v>
      </c>
      <c r="AS5" s="14">
        <v>8</v>
      </c>
      <c r="AT5" s="15">
        <v>3600</v>
      </c>
      <c r="AU5" s="15" t="e">
        <f>AU4+AT5</f>
        <v>#REF!</v>
      </c>
    </row>
    <row r="6" spans="1:47" ht="13.8" x14ac:dyDescent="0.25">
      <c r="A6" s="25" t="s">
        <v>8</v>
      </c>
    </row>
    <row r="7" spans="1:47" x14ac:dyDescent="0.25">
      <c r="A7" s="27" t="s">
        <v>14</v>
      </c>
    </row>
    <row r="8" spans="1:47" ht="15" x14ac:dyDescent="0.25">
      <c r="A8" s="27" t="s">
        <v>15</v>
      </c>
      <c r="K8" s="28" t="s">
        <v>23</v>
      </c>
    </row>
    <row r="9" spans="1:47" x14ac:dyDescent="0.25">
      <c r="A9" s="27" t="s">
        <v>16</v>
      </c>
      <c r="K9" s="2" t="s">
        <v>24</v>
      </c>
      <c r="L9" s="2" t="s">
        <v>25</v>
      </c>
      <c r="R9" s="2"/>
      <c r="S9" s="2"/>
      <c r="T9" s="2"/>
      <c r="U9" s="2"/>
      <c r="Z9" s="1"/>
      <c r="AA9" s="1"/>
      <c r="AB9" s="1"/>
      <c r="AC9" s="1"/>
      <c r="AE9" s="2"/>
      <c r="AI9" s="1"/>
      <c r="AK9" s="2"/>
      <c r="AO9" s="1"/>
    </row>
    <row r="10" spans="1:47" x14ac:dyDescent="0.25">
      <c r="A10" s="27" t="s">
        <v>17</v>
      </c>
      <c r="K10" s="21">
        <v>1000</v>
      </c>
      <c r="L10" s="23">
        <v>1200</v>
      </c>
      <c r="R10" s="2"/>
      <c r="S10" s="2"/>
      <c r="T10" s="2"/>
      <c r="U10" s="2"/>
      <c r="Z10" s="1"/>
      <c r="AA10" s="1"/>
      <c r="AB10" s="1"/>
      <c r="AC10" s="1"/>
      <c r="AE10" s="2"/>
      <c r="AI10" s="1"/>
      <c r="AK10" s="2"/>
      <c r="AO10" s="1"/>
    </row>
    <row r="11" spans="1:47" x14ac:dyDescent="0.25">
      <c r="A11" s="27" t="s">
        <v>18</v>
      </c>
      <c r="J11" s="1"/>
      <c r="K11" s="1" t="s">
        <v>29</v>
      </c>
      <c r="M11" s="2"/>
      <c r="N11" s="2"/>
      <c r="O11" s="2"/>
      <c r="P11" s="2"/>
      <c r="Q11" s="2"/>
      <c r="V11" s="1"/>
      <c r="X11" s="1"/>
      <c r="Y11" s="1"/>
      <c r="Z11" s="1"/>
      <c r="AA11" s="1"/>
      <c r="AB11" s="1"/>
      <c r="AI11" s="1"/>
      <c r="AO11" s="1"/>
    </row>
    <row r="12" spans="1:47" x14ac:dyDescent="0.25">
      <c r="A12" s="27" t="s">
        <v>22</v>
      </c>
      <c r="J12" s="1"/>
      <c r="M12" s="2"/>
      <c r="N12" s="2"/>
      <c r="O12" s="2"/>
      <c r="P12" s="2"/>
      <c r="Q12" s="2"/>
      <c r="V12" s="1"/>
      <c r="X12" s="1"/>
      <c r="Y12" s="1"/>
      <c r="Z12" s="1"/>
      <c r="AA12" s="1"/>
      <c r="AB12" s="1"/>
      <c r="AI12" s="1"/>
      <c r="AO12" s="1"/>
    </row>
    <row r="13" spans="1:47" x14ac:dyDescent="0.25">
      <c r="A13" s="27" t="s">
        <v>19</v>
      </c>
      <c r="J13" s="1"/>
      <c r="N13" s="2"/>
      <c r="O13" s="2"/>
      <c r="P13" s="2"/>
      <c r="Q13" s="2"/>
      <c r="R13" s="2"/>
      <c r="S13" s="2"/>
      <c r="T13" s="2"/>
      <c r="U13" s="2"/>
      <c r="V13" s="1"/>
      <c r="W13" s="1"/>
      <c r="X13" s="1"/>
      <c r="Y13" s="1"/>
      <c r="Z13" s="1"/>
      <c r="AB13" s="1"/>
      <c r="AC13" s="1"/>
      <c r="AG13" s="2"/>
      <c r="AI13" s="1"/>
      <c r="AO13" s="1"/>
    </row>
    <row r="14" spans="1:47" x14ac:dyDescent="0.25">
      <c r="A14" s="27" t="s">
        <v>20</v>
      </c>
      <c r="J14" s="1"/>
      <c r="N14" s="2"/>
      <c r="O14" s="2"/>
      <c r="P14" s="2"/>
      <c r="Q14" s="2"/>
      <c r="R14" s="2"/>
      <c r="S14" s="2"/>
      <c r="T14" s="2"/>
      <c r="U14" s="2"/>
      <c r="V14" s="1"/>
      <c r="W14" s="1"/>
      <c r="X14" s="1"/>
      <c r="Y14" s="1"/>
      <c r="Z14" s="1"/>
      <c r="AB14" s="1"/>
      <c r="AC14" s="1"/>
      <c r="AG14" s="2"/>
      <c r="AI14" s="1"/>
      <c r="AO14" s="1"/>
    </row>
    <row r="15" spans="1:47" x14ac:dyDescent="0.25">
      <c r="A15" s="27" t="s">
        <v>21</v>
      </c>
      <c r="J15" s="1"/>
      <c r="N15" s="2"/>
      <c r="O15" s="2"/>
      <c r="P15" s="2"/>
      <c r="Q15" s="2"/>
      <c r="R15" s="2"/>
      <c r="S15" s="2"/>
      <c r="T15" s="2"/>
      <c r="U15" s="2"/>
      <c r="V15" s="1"/>
      <c r="W15" s="1"/>
      <c r="X15" s="1"/>
      <c r="Y15" s="1"/>
      <c r="Z15" s="1"/>
      <c r="AB15" s="1"/>
      <c r="AC15" s="1"/>
      <c r="AG15" s="2"/>
      <c r="AI15" s="1"/>
      <c r="AO15" s="1"/>
    </row>
    <row r="16" spans="1:47" x14ac:dyDescent="0.25">
      <c r="J16" s="1"/>
      <c r="N16" s="2"/>
      <c r="O16" s="2"/>
      <c r="P16" s="2"/>
      <c r="Q16" s="2"/>
      <c r="R16" s="2"/>
      <c r="S16" s="2"/>
      <c r="T16" s="2"/>
      <c r="U16" s="2"/>
      <c r="V16" s="1"/>
      <c r="W16" s="1"/>
      <c r="X16" s="1"/>
      <c r="Y16" s="1"/>
      <c r="Z16" s="1"/>
      <c r="AB16" s="1"/>
      <c r="AC16" s="1"/>
      <c r="AG16" s="2"/>
      <c r="AI16" s="1"/>
      <c r="AO16" s="1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office8</cp:lastModifiedBy>
  <cp:lastPrinted>2019-11-19T03:03:39Z</cp:lastPrinted>
  <dcterms:created xsi:type="dcterms:W3CDTF">2017-05-05T08:05:46Z</dcterms:created>
  <dcterms:modified xsi:type="dcterms:W3CDTF">2026-10-12T17:27:56Z</dcterms:modified>
</cp:coreProperties>
</file>